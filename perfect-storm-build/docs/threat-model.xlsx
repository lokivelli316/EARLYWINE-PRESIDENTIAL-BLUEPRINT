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ae6da733a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ups" sheetId="1" r:id="Rf53670ae78b04210"/>
    <x:sheet xmlns:r="http://schemas.openxmlformats.org/officeDocument/2006/relationships" name="Instructions" sheetId="2" r:id="R5a1d960912de4c89"/>
    <x:sheet xmlns:r="http://schemas.openxmlformats.org/officeDocument/2006/relationships" name="Human_Dumbassery" sheetId="3" r:id="R93da0f1c91544e8a"/>
    <x:sheet xmlns:r="http://schemas.openxmlformats.org/officeDocument/2006/relationships" name="Machine_Agency" sheetId="4" r:id="Rc238661947624e01"/>
    <x:sheet xmlns:r="http://schemas.openxmlformats.org/officeDocument/2006/relationships" name="Cyber_Containment" sheetId="5" r:id="Rc38a6d0971d74781"/>
    <x:sheet xmlns:r="http://schemas.openxmlformats.org/officeDocument/2006/relationships" name="Supply_Chain" sheetId="6" r:id="Rc2c62965eb1b4bfb"/>
    <x:sheet xmlns:r="http://schemas.openxmlformats.org/officeDocument/2006/relationships" name="Model_Pipeline" sheetId="7" r:id="Rbef21c807c45419c"/>
    <x:sheet xmlns:r="http://schemas.openxmlformats.org/officeDocument/2006/relationships" name="Lab_Automation" sheetId="8" r:id="R6fc79ac44ada4337"/>
    <x:sheet xmlns:r="http://schemas.openxmlformats.org/officeDocument/2006/relationships" name="Governance_Response" sheetId="9" r:id="Rb2606130b4d64eb3"/>
    <x:sheet xmlns:r="http://schemas.openxmlformats.org/officeDocument/2006/relationships" name="BSL_Physical" sheetId="10" r:id="R8ba6b57a736c4601"/>
    <x:sheet xmlns:r="http://schemas.openxmlformats.org/officeDocument/2006/relationships" name="CPX" sheetId="11" r:id="Rdbe5de4678e44dbc"/>
    <x:sheet xmlns:r="http://schemas.openxmlformats.org/officeDocument/2006/relationships" name="Dashboard" sheetId="12" r:id="R8681b693321a4873"/>
    <x:sheet xmlns:r="http://schemas.openxmlformats.org/officeDocument/2006/relationships" name="Cross_Reference" sheetId="13" r:id="Rfa63921b7c81471f"/>
    <x:sheet xmlns:r="http://schemas.openxmlformats.org/officeDocument/2006/relationships" name="Evidence_Register" sheetId="14" r:id="R38853754f59141eb"/>
    <x:sheet xmlns:r="http://schemas.openxmlformats.org/officeDocument/2006/relationships" name="Decision_Log" sheetId="15" r:id="R8399fa7bf4fd4772"/>
    <x:sheet xmlns:r="http://schemas.openxmlformats.org/officeDocument/2006/relationships" name="Page_Feed" sheetId="16" r:id="R3c5bf12f77b8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28C28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12"/>
      <x:color rgb="FF111111"/>
      <x:name val="Carlito"/>
    </x:font>
    <x:font>
      <x:b/>
      <x:sz val="10"/>
      <x:color rgb="FF1111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1C1C1C"/>
      </x:patternFill>
    </x:fill>
    <x:fill>
      <x:patternFill patternType="solid">
        <x:fgColor rgb="FFF7F7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C6282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7f01fa7064836" /><Relationship Type="http://schemas.openxmlformats.org/officeDocument/2006/relationships/theme" Target="/xl/theme/theme1.xml" Id="R9768f637f2064cdd" /><Relationship Type="http://schemas.openxmlformats.org/officeDocument/2006/relationships/sharedStrings" Target="/xl/sharedStrings.xml" Id="Rf40141e22eea4f45" /><Relationship Type="http://schemas.openxmlformats.org/officeDocument/2006/relationships/worksheet" Target="/xl/worksheets/sheet1.xml" Id="Rf53670ae78b04210" /><Relationship Type="http://schemas.openxmlformats.org/officeDocument/2006/relationships/worksheet" Target="/xl/worksheets/sheet2.xml" Id="R5a1d960912de4c89" /><Relationship Type="http://schemas.openxmlformats.org/officeDocument/2006/relationships/worksheet" Target="/xl/worksheets/sheet3.xml" Id="R93da0f1c91544e8a" /><Relationship Type="http://schemas.openxmlformats.org/officeDocument/2006/relationships/worksheet" Target="/xl/worksheets/sheet4.xml" Id="Rc238661947624e01" /><Relationship Type="http://schemas.openxmlformats.org/officeDocument/2006/relationships/worksheet" Target="/xl/worksheets/sheet5.xml" Id="Rc38a6d0971d74781" /><Relationship Type="http://schemas.openxmlformats.org/officeDocument/2006/relationships/worksheet" Target="/xl/worksheets/sheet6.xml" Id="Rc2c62965eb1b4bfb" /><Relationship Type="http://schemas.openxmlformats.org/officeDocument/2006/relationships/worksheet" Target="/xl/worksheets/sheet7.xml" Id="Rbef21c807c45419c" /><Relationship Type="http://schemas.openxmlformats.org/officeDocument/2006/relationships/worksheet" Target="/xl/worksheets/sheet8.xml" Id="R6fc79ac44ada4337" /><Relationship Type="http://schemas.openxmlformats.org/officeDocument/2006/relationships/worksheet" Target="/xl/worksheets/sheet9.xml" Id="Rb2606130b4d64eb3" /><Relationship Type="http://schemas.openxmlformats.org/officeDocument/2006/relationships/worksheet" Target="/xl/worksheets/sheet10.xml" Id="R8ba6b57a736c4601" /><Relationship Type="http://schemas.openxmlformats.org/officeDocument/2006/relationships/worksheet" Target="/xl/worksheets/sheet11.xml" Id="Rdbe5de4678e44dbc" /><Relationship Type="http://schemas.openxmlformats.org/officeDocument/2006/relationships/worksheet" Target="/xl/worksheets/sheet12.xml" Id="R8681b693321a4873" /><Relationship Type="http://schemas.openxmlformats.org/officeDocument/2006/relationships/worksheet" Target="/xl/worksheets/sheet13.xml" Id="Rfa63921b7c81471f" /><Relationship Type="http://schemas.openxmlformats.org/officeDocument/2006/relationships/worksheet" Target="/xl/worksheets/sheet14.xml" Id="R38853754f59141eb" /><Relationship Type="http://schemas.openxmlformats.org/officeDocument/2006/relationships/worksheet" Target="/xl/worksheets/sheet15.xml" Id="R8399fa7bf4fd4772" /><Relationship Type="http://schemas.openxmlformats.org/officeDocument/2006/relationships/worksheet" Target="/xl/worksheets/sheet16.xml" Id="R3c5bf12f77b841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aa4de609c444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Maximum residual risk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Max residual</c:v>
          </c:tx>
          <c:cat>
            <c:strRef>
              <c:f>'Dashboard'!$A$8:$A$16</c:f>
              <c:strCache>
                <c:ptCount val="0"/>
              </c:strCache>
            </c:strRef>
          </c:cat>
          <c:val>
            <c:numRef>
              <c:f>'Dashboard'!$B$8:$B$16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aa4de609c444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4ba9b1c6a64b7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0" hidden="0" customWidth="1"/>
    <x:col min="6" max="6" width="22" hidden="0" customWidth="1"/>
  </x:cols>
  <x:sheetData>
    <x:row r="1" ht="28" customHeight="1">
      <x:c r="A1" s="4" t="str">
        <x:v>THREAT MODEL PARAMETERS</x:v>
      </x:c>
      <x:c r="B1" s="4"/>
      <x:c r="C1" s="4"/>
      <x:c r="D1" s="4"/>
      <x:c r="E1" s="4"/>
      <x:c r="F1" s="4"/>
    </x:row>
    <x:row r="2" ht="38" customHeight="1">
      <x:c r="A2" s="10" t="str">
        <x:v>Central scoring parameters. Edit these deliberately; all domain decision tables and cross-domain scores reference them.</x:v>
      </x:c>
      <x:c r="B2" s="10"/>
      <x:c r="C2" s="10"/>
      <x:c r="D2" s="10"/>
      <x:c r="E2" s="10"/>
      <x:c r="F2" s="10"/>
    </x:row>
    <x:row r="4">
      <x:c r="A4" s="18" t="str">
        <x:v>Parameter</x:v>
      </x:c>
      <x:c r="B4" s="18" t="str">
        <x:v>Value</x:v>
      </x:c>
      <x:c r="D4" s="18" t="str">
        <x:v>Evidence class</x:v>
      </x:c>
      <x:c r="F4" s="18" t="str">
        <x:v>Decision state</x:v>
      </x:c>
    </x:row>
    <x:row r="5">
      <x:c r="A5" s="26" t="str">
        <x:v>Maximum input score</x:v>
      </x:c>
      <x:c r="B5" s="26" t="n">
        <x:v>4</x:v>
      </x:c>
      <x:c r="D5" s="26" t="str">
        <x:v>DOCUMENTED</x:v>
      </x:c>
      <x:c r="F5" s="26" t="str">
        <x:v>BOUNDED</x:v>
      </x:c>
    </x:row>
    <x:row r="6">
      <x:c r="A6" s="26" t="str">
        <x:v>Control denominator</x:v>
      </x:c>
      <x:c r="B6" s="26" t="n">
        <x:f>B5+1</x:f>
        <x:v>5</x:v>
      </x:c>
      <x:c r="D6" s="26" t="str">
        <x:v>SUPPORTED</x:v>
      </x:c>
      <x:c r="F6" s="26" t="str">
        <x:v>WATCH / MITIGATE</x:v>
      </x:c>
    </x:row>
    <x:row r="7">
      <x:c r="A7" s="26" t="str">
        <x:v>Unknown penalty</x:v>
      </x:c>
      <x:c r="B7" s="26" t="n">
        <x:v>2</x:v>
      </x:c>
      <x:c r="D7" s="26" t="str">
        <x:v>INFERENCE</x:v>
      </x:c>
      <x:c r="F7" s="26" t="str">
        <x:v>HIGH / HARDEN</x:v>
      </x:c>
    </x:row>
    <x:row r="8">
      <x:c r="A8" s="26" t="str">
        <x:v>Critical threshold</x:v>
      </x:c>
      <x:c r="B8" s="26" t="n">
        <x:v>10</x:v>
      </x:c>
      <x:c r="D8" s="26" t="str">
        <x:v>PLAUSIBLE</x:v>
      </x:c>
      <x:c r="F8" s="26" t="str">
        <x:v>STOP / RED</x:v>
      </x:c>
    </x:row>
    <x:row r="9">
      <x:c r="A9" s="26" t="str">
        <x:v>High threshold</x:v>
      </x:c>
      <x:c r="B9" s="26" t="n">
        <x:v>6</x:v>
      </x:c>
      <x:c r="D9" s="26" t="str">
        <x:v>UNKNOWN</x:v>
      </x:c>
    </x:row>
    <x:row r="10">
      <x:c r="A10" s="26" t="str">
        <x:v>Moderate threshold</x:v>
      </x:c>
      <x:c r="B10" s="26" t="n">
        <x:v>3</x:v>
      </x:c>
      <x:c r="D10" s="26" t="str">
        <x:v>CONTRADICTED</x:v>
      </x:c>
    </x:row>
    <x:row r="11">
      <x:c r="A11" s="26" t="str">
        <x:v>Shared-trust multiplier</x:v>
      </x:c>
      <x:c r="B11" s="26" t="n">
        <x:v>0.5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3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4" hidden="0" customWidth="1"/>
    <x:col min="8" max="8" width="28" hidden="0" customWidth="1"/>
  </x:cols>
  <x:sheetData>
    <x:row r="1" ht="28" customHeight="1">
      <x:c r="A1" s="4" t="str">
        <x:v>HOW TO USE THE FEDERATED THREAT-MODEL WORKBOOK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0" t="str">
        <x:v>Score each hazard inside its own decision table. The Dashboard summarizes domains; Cross_Reference evaluates compound paths between them.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Step</x:v>
      </x:c>
      <x:c r="B4" s="18" t="str">
        <x:v>Action</x:v>
      </x:c>
      <x:c r="C4" s="18" t="str">
        <x:v>What changes</x:v>
      </x:c>
      <x:c r="D4" s="18" t="str">
        <x:v>Do not do</x:v>
      </x:c>
      <x:c r="E4" s="18" t="str">
        <x:v>Evidence rule</x:v>
      </x:c>
      <x:c r="F4" s="18" t="str">
        <x:v>Unknown rule</x:v>
      </x:c>
      <x:c r="G4" s="18" t="str">
        <x:v>Output</x:v>
      </x:c>
      <x:c r="H4" s="18" t="str">
        <x:v>Purpose</x:v>
      </x:c>
    </x:row>
    <x:row r="5">
      <x:c r="A5" s="26" t="n">
        <x:v>1</x:v>
      </x:c>
      <x:c r="B5" s="26" t="str">
        <x:v>Score severity, exposure, and control effectiveness 0–4 on each domain sheet.</x:v>
      </x:c>
      <x:c r="C5" s="26" t="str">
        <x:v>Residual risk calculates automatically.</x:v>
      </x:c>
      <x:c r="D5" s="26" t="str">
        <x:v>Do not use a zero merely because a fact is missing.</x:v>
      </x:c>
      <x:c r="E5" s="26" t="str">
        <x:v>Keep evidence class separate from risk score.</x:v>
      </x:c>
      <x:c r="F5" s="26" t="str">
        <x:v>Set Unknown=1 when a material fact is unresolved.</x:v>
      </x:c>
      <x:c r="G5" s="26" t="str">
        <x:v>Row decision + domain disposition</x:v>
      </x:c>
      <x:c r="H5" s="26" t="str">
        <x:v>Preserve uncertainty instead of hiding it.</x:v>
      </x:c>
    </x:row>
    <x:row r="6">
      <x:c r="A6" s="26" t="n">
        <x:v>2</x:v>
      </x:c>
      <x:c r="B6" s="26" t="str">
        <x:v>Classify the evidence for every major failure mode.</x:v>
      </x:c>
      <x:c r="C6" s="26" t="str">
        <x:v>The workbook keeps fact/inference boundaries visible.</x:v>
      </x:c>
      <x:c r="D6" s="26" t="str">
        <x:v>Do not promote PLAUSIBLE to DOCUMENTED.</x:v>
      </x:c>
      <x:c r="E6" s="26" t="str">
        <x:v>Use the exact six-class list.</x:v>
      </x:c>
      <x:c r="F6" s="26" t="str">
        <x:v>UNKNOWN is a valid evidence class.</x:v>
      </x:c>
      <x:c r="G6" s="26" t="str">
        <x:v>Traceable decision table</x:v>
      </x:c>
      <x:c r="H6" s="26" t="str">
        <x:v>Make the model auditable.</x:v>
      </x:c>
    </x:row>
    <x:row r="7">
      <x:c r="A7" s="26" t="n">
        <x:v>3</x:v>
      </x:c>
      <x:c r="B7" s="26" t="str">
        <x:v>Use CPX to classify digital control-plane exposure independently of physical containment.</x:v>
      </x:c>
      <x:c r="C7" s="26" t="str">
        <x:v>CPX red-line conditions become visible.</x:v>
      </x:c>
      <x:c r="D7" s="26" t="str">
        <x:v>Do not assume a high physical tier fixes digital authority.</x:v>
      </x:c>
      <x:c r="E7" s="26" t="str">
        <x:v>A control can be physically strong and digitally exposed.</x:v>
      </x:c>
      <x:c r="F7" s="26" t="str">
        <x:v>Unknown trust paths force review.</x:v>
      </x:c>
      <x:c r="G7" s="26" t="str">
        <x:v>CPX disposition</x:v>
      </x:c>
      <x:c r="H7" s="26" t="str">
        <x:v>Catch cross-domain control failures.</x:v>
      </x:c>
    </x:row>
    <x:row r="8">
      <x:c r="A8" s="26" t="n">
        <x:v>4</x:v>
      </x:c>
      <x:c r="B8" s="26" t="str">
        <x:v>Use BSL_Physical as a proposed containment decision table, not official BSL nomenclature beyond standard BSL-1–4.</x:v>
      </x:c>
      <x:c r="C8" s="26" t="str">
        <x:v>Physical assumptions are separated from digital assumptions.</x:v>
      </x:c>
      <x:c r="D8" s="26" t="str">
        <x:v>Do not present proposed BSL-5/6/7 as established regulation.</x:v>
      </x:c>
      <x:c r="E8" s="26" t="str">
        <x:v>Label proposal status explicitly.</x:v>
      </x:c>
      <x:c r="F8" s="26" t="str">
        <x:v>Unknown physical assumptions require review.</x:v>
      </x:c>
      <x:c r="G8" s="26" t="str">
        <x:v>Physical disposition</x:v>
      </x:c>
      <x:c r="H8" s="26" t="str">
        <x:v>Keep proposed architecture honest.</x:v>
      </x:c>
    </x:row>
    <x:row r="9">
      <x:c r="A9" s="26" t="n">
        <x:v>5</x:v>
      </x:c>
      <x:c r="B9" s="26" t="str">
        <x:v>Edit Cross_Reference coupling values for paths that connect two domains.</x:v>
      </x:c>
      <x:c r="C9" s="26" t="str">
        <x:v>Compound score recalculates.</x:v>
      </x:c>
      <x:c r="D9" s="26" t="str">
        <x:v>Do not assume two controls are independent if they share trust infrastructure.</x:v>
      </x:c>
      <x:c r="E9" s="26" t="str">
        <x:v>Evidence class applies to the coupling mechanism too.</x:v>
      </x:c>
      <x:c r="F9" s="26" t="str">
        <x:v>Unknown coupling adds penalty.</x:v>
      </x:c>
      <x:c r="G9" s="26" t="str">
        <x:v>Compound-path ranking</x:v>
      </x:c>
      <x:c r="H9" s="26" t="str">
        <x:v>Find perfect-storm combinations.</x:v>
      </x:c>
    </x:row>
    <x:row r="10">
      <x:c r="A10" s="26" t="n">
        <x:v>6</x:v>
      </x:c>
      <x:c r="B10" s="26" t="str">
        <x:v>Use Dashboard for triage, not as the evidence record.</x:v>
      </x:c>
      <x:c r="C10" s="26" t="str">
        <x:v>Shows domain max/average risk, unknowns, and compound hot spots.</x:v>
      </x:c>
      <x:c r="D10" s="26" t="str">
        <x:v>Do not erase source rows because the dashboard looks clean.</x:v>
      </x:c>
      <x:c r="E10" s="26" t="str">
        <x:v>Evidence lives in domain tables and Evidence_Register.</x:v>
      </x:c>
      <x:c r="F10" s="26" t="str">
        <x:v>Unknown count remains visible.</x:v>
      </x:c>
      <x:c r="G10" s="26" t="str">
        <x:v>Executive view</x:v>
      </x:c>
      <x:c r="H10" s="26" t="str">
        <x:v>Fast review without losing lineage.</x:v>
      </x:c>
    </x:row>
    <x:row r="11">
      <x:c r="A11" s="26" t="n">
        <x:v>7</x:v>
      </x:c>
      <x:c r="B11" s="26" t="str">
        <x:v>Use Page_Feed as the normalized handoff to an interactive HTML/JS front end.</x:v>
      </x:c>
      <x:c r="C11" s="26" t="str">
        <x:v>Domain and edge data stay in a predictable layout.</x:v>
      </x:c>
      <x:c r="D11" s="26" t="str">
        <x:v>Do not duplicate risk logic in the page unless intentionally versioned.</x:v>
      </x:c>
      <x:c r="E11" s="26" t="str">
        <x:v>Page should display, not silently reinterpret.</x:v>
      </x:c>
      <x:c r="F11" s="26" t="str">
        <x:v>Carry unknown flags forward.</x:v>
      </x:c>
      <x:c r="G11" s="26" t="str">
        <x:v>Frontend-ready feed</x:v>
      </x:c>
      <x:c r="H11" s="26" t="str">
        <x:v>Keep spreadsheet and page federated, not fused.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HUMAN DUMBASSERY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Formal human-failure layer: predictable operational, reporting, incentive, fatigue, and handoff failures.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MAX(J8:J15)</x:f>
        <x:v>9.6</x:v>
      </x:c>
      <x:c r="B5" s="34" t="n">
        <x:f>AVERAGE(J8:J15)</x:f>
        <x:v>6.05</x:v>
      </x:c>
      <x:c r="C5" s="34" t="n">
        <x:f>SUM(I8:I15)</x:f>
        <x:v>0</x:v>
      </x:c>
      <x:c r="D5" s="34" t="str">
        <x:f>IF(C5&gt;0,"REVIEW UNKNOWN",IF(A5&gt;=Lookups!$B$8,"STOP / RED",IF(A5&gt;=Lookups!$B$9,"HIGH / HARDEN",IF(A5&gt;=Lookups!$B$10,"WATCH / MITIGATE","BOUNDED"))))</x:f>
        <x:v>HIGH / HARDEN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HD-01</x:v>
      </x:c>
      <x:c r="B8" s="26" t="str">
        <x:v>Fatigue-driven procedural shortcuts</x:v>
      </x:c>
      <x:c r="C8" s="26" t="str">
        <x:v>Routine pressure or fatigue creates shortcuts around safeguards</x:v>
      </x:c>
      <x:c r="D8" s="26" t="str">
        <x:v>SUPPORTED</x:v>
      </x:c>
      <x:c r="E8" s="26" t="str">
        <x:v>Enhanced BSL Containment Architecture v2.0</x:v>
      </x:c>
      <x:c r="F8" s="26" t="n">
        <x:v>3</x:v>
      </x:c>
      <x:c r="G8" s="26" t="n">
        <x:v>3</x:v>
      </x:c>
      <x:c r="H8" s="26" t="n">
        <x:v>2</x:v>
      </x:c>
      <x:c r="I8" s="26" t="n">
        <x:v>0</x:v>
      </x:c>
      <x:c r="J8" s="40" t="n">
        <x:f>F8*G8*(Lookups!$B$6-H8)/Lookups!$B$6+I8*Lookups!$B$7</x:f>
        <x:v>5.4</x:v>
      </x:c>
      <x:c r="K8" s="26" t="str">
        <x:f>IF(I8=1,"REVIEW UNKNOWN",IF(J8&gt;=Lookups!$B$8,"STOP / RED",IF(J8&gt;=Lookups!$B$9,"HIGH / HARDEN",IF(J8&gt;=Lookups!$B$10,"WATCH / MITIGATE","BOUNDED"))))</x:f>
        <x:v>WATCH / MITIGATE</x:v>
      </x:c>
      <x:c r="L8" s="26" t="str"/>
    </x:row>
    <x:row r="9">
      <x:c r="A9" s="26" t="str">
        <x:v>HD-02</x:v>
      </x:c>
      <x:c r="B9" s="26" t="str">
        <x:v>Single-person critical authority</x:v>
      </x:c>
      <x:c r="C9" s="26" t="str">
        <x:v>One operator can create or suppress a high-consequence state</x:v>
      </x:c>
      <x:c r="D9" s="26" t="str">
        <x:v>SUPPORTED</x:v>
      </x:c>
      <x:c r="E9" s="26" t="str">
        <x:v>Enhanced BSL Containment Architecture v2.0</x:v>
      </x:c>
      <x:c r="F9" s="26" t="n">
        <x:v>4</x:v>
      </x:c>
      <x:c r="G9" s="26" t="n">
        <x:v>2</x:v>
      </x:c>
      <x:c r="H9" s="26" t="n">
        <x:v>2</x:v>
      </x:c>
      <x:c r="I9" s="26" t="n">
        <x:v>0</x:v>
      </x:c>
      <x:c r="J9" s="40" t="n">
        <x:f>F9*G9*(Lookups!$B$6-H9)/Lookups!$B$6+I9*Lookups!$B$7</x:f>
        <x:v>4.8</x:v>
      </x:c>
      <x:c r="K9" s="26" t="str">
        <x:f>IF(I9=1,"REVIEW UNKNOWN",IF(J9&gt;=Lookups!$B$8,"STOP / RED",IF(J9&gt;=Lookups!$B$9,"HIGH / HARDEN",IF(J9&gt;=Lookups!$B$10,"WATCH / MITIGATE","BOUNDED"))))</x:f>
        <x:v>WATCH / MITIGATE</x:v>
      </x:c>
      <x:c r="L9" s="26" t="str"/>
    </x:row>
    <x:row r="10">
      <x:c r="A10" s="26" t="str">
        <x:v>HD-03</x:v>
      </x:c>
      <x:c r="B10" s="26" t="str">
        <x:v>Institutional suppression / notification delay</x:v>
      </x:c>
      <x:c r="C10" s="26" t="str">
        <x:v>Anomaly exists but reporting is delayed while liability or optics are assessed</x:v>
      </x:c>
      <x:c r="D10" s="26" t="str">
        <x:v>SUPPORTED</x:v>
      </x:c>
      <x:c r="E10" s="26" t="str">
        <x:v>Enhanced BSL Containment Architecture v2.0</x:v>
      </x:c>
      <x:c r="F10" s="26" t="n">
        <x:v>4</x:v>
      </x:c>
      <x:c r="G10" s="26" t="n">
        <x:v>3</x:v>
      </x:c>
      <x:c r="H10" s="26" t="n">
        <x:v>1</x:v>
      </x:c>
      <x:c r="I10" s="26" t="n">
        <x:v>0</x:v>
      </x:c>
      <x:c r="J10" s="40" t="n">
        <x:f>F10*G10*(Lookups!$B$6-H10)/Lookups!$B$6+I10*Lookups!$B$7</x:f>
        <x:v>9.6</x:v>
      </x:c>
      <x:c r="K10" s="26" t="str">
        <x:f>IF(I10=1,"REVIEW UNKNOWN",IF(J10&gt;=Lookups!$B$8,"STOP / RED",IF(J10&gt;=Lookups!$B$9,"HIGH / HARDEN",IF(J10&gt;=Lookups!$B$10,"WATCH / MITIGATE","BOUNDED"))))</x:f>
        <x:v>HIGH / HARDEN</x:v>
      </x:c>
      <x:c r="L10" s="26" t="str"/>
    </x:row>
    <x:row r="11">
      <x:c r="A11" s="26" t="str">
        <x:v>HD-04</x:v>
      </x:c>
      <x:c r="B11" s="26" t="str">
        <x:v>Configuration mistaken for containment</x:v>
      </x:c>
      <x:c r="C11" s="26" t="str">
        <x:v>Humans believe a software setting provides stronger isolation than it actually does</x:v>
      </x:c>
      <x:c r="D11" s="26" t="str">
        <x:v>DOCUMENTED</x:v>
      </x:c>
      <x:c r="E11" s="26" t="str">
        <x:v>2026 evaluation-incident lineage</x:v>
      </x:c>
      <x:c r="F11" s="26" t="n">
        <x:v>4</x:v>
      </x:c>
      <x:c r="G11" s="26" t="n">
        <x:v>4</x:v>
      </x:c>
      <x:c r="H11" s="26" t="n">
        <x:v>2</x:v>
      </x:c>
      <x:c r="I11" s="26" t="n">
        <x:v>0</x:v>
      </x:c>
      <x:c r="J11" s="40" t="n">
        <x:f>F11*G11*(Lookups!$B$6-H11)/Lookups!$B$6+I11*Lookups!$B$7</x:f>
        <x:v>9.6</x:v>
      </x:c>
      <x:c r="K11" s="26" t="str">
        <x:f>IF(I11=1,"REVIEW UNKNOWN",IF(J11&gt;=Lookups!$B$8,"STOP / RED",IF(J11&gt;=Lookups!$B$9,"HIGH / HARDEN",IF(J11&gt;=Lookups!$B$10,"WATCH / MITIGATE","BOUNDED"))))</x:f>
        <x:v>HIGH / HARDEN</x:v>
      </x:c>
      <x:c r="L11" s="26" t="str"/>
    </x:row>
    <x:row r="12">
      <x:c r="A12" s="26" t="str">
        <x:v>HD-05</x:v>
      </x:c>
      <x:c r="B12" s="26" t="str">
        <x:v>Shift-change / handoff loss</x:v>
      </x:c>
      <x:c r="C12" s="26" t="str">
        <x:v>Critical context is dropped between people, teams, or organizations</x:v>
      </x:c>
      <x:c r="D12" s="26" t="str">
        <x:v>SUPPORTED</x:v>
      </x:c>
      <x:c r="E12" s="26" t="str">
        <x:v>Enhanced BSL Containment Architecture v2.0</x:v>
      </x:c>
      <x:c r="F12" s="26" t="n">
        <x:v>3</x:v>
      </x:c>
      <x:c r="G12" s="26" t="n">
        <x:v>3</x:v>
      </x:c>
      <x:c r="H12" s="26" t="n">
        <x:v>2</x:v>
      </x:c>
      <x:c r="I12" s="26" t="n">
        <x:v>0</x:v>
      </x:c>
      <x:c r="J12" s="40" t="n">
        <x:f>F12*G12*(Lookups!$B$6-H12)/Lookups!$B$6+I12*Lookups!$B$7</x:f>
        <x:v>5.4</x:v>
      </x:c>
      <x:c r="K12" s="26" t="str">
        <x:f>IF(I12=1,"REVIEW UNKNOWN",IF(J12&gt;=Lookups!$B$8,"STOP / RED",IF(J12&gt;=Lookups!$B$9,"HIGH / HARDEN",IF(J12&gt;=Lookups!$B$10,"WATCH / MITIGATE","BOUNDED"))))</x:f>
        <x:v>WATCH / MITIGATE</x:v>
      </x:c>
      <x:c r="L12" s="26" t="str"/>
    </x:row>
    <x:row r="13">
      <x:c r="A13" s="26" t="str">
        <x:v>HD-06</x:v>
      </x:c>
      <x:c r="B13" s="26" t="str">
        <x:v>Groupthink / hierarchy suppression</x:v>
      </x:c>
      <x:c r="C13" s="26" t="str">
        <x:v>Weak dissent is discounted because authority appears confident</x:v>
      </x:c>
      <x:c r="D13" s="26" t="str">
        <x:v>SUPPORTED</x:v>
      </x:c>
      <x:c r="E13" s="26" t="str">
        <x:v>Enhanced BSL Containment Architecture v2.0</x:v>
      </x:c>
      <x:c r="F13" s="26" t="n">
        <x:v>3</x:v>
      </x:c>
      <x:c r="G13" s="26" t="n">
        <x:v>2</x:v>
      </x:c>
      <x:c r="H13" s="26" t="n">
        <x:v>2</x:v>
      </x:c>
      <x:c r="I13" s="26" t="n">
        <x:v>0</x:v>
      </x:c>
      <x:c r="J13" s="40" t="n">
        <x:f>F13*G13*(Lookups!$B$6-H13)/Lookups!$B$6+I13*Lookups!$B$7</x:f>
        <x:v>3.6</x:v>
      </x:c>
      <x:c r="K13" s="26" t="str">
        <x:f>IF(I13=1,"REVIEW UNKNOWN",IF(J13&gt;=Lookups!$B$8,"STOP / RED",IF(J13&gt;=Lookups!$B$9,"HIGH / HARDEN",IF(J13&gt;=Lookups!$B$10,"WATCH / MITIGATE","BOUNDED"))))</x:f>
        <x:v>WATCH / MITIGATE</x:v>
      </x:c>
      <x:c r="L13" s="26" t="str"/>
    </x:row>
    <x:row r="14">
      <x:c r="A14" s="26" t="str">
        <x:v>HD-07</x:v>
      </x:c>
      <x:c r="B14" s="26" t="str">
        <x:v>Complacency after quiet periods</x:v>
      </x:c>
      <x:c r="C14" s="26" t="str">
        <x:v>Long incident-free periods reduce vigilance</x:v>
      </x:c>
      <x:c r="D14" s="26" t="str">
        <x:v>SUPPORTED</x:v>
      </x:c>
      <x:c r="E14" s="26" t="str">
        <x:v>Enhanced BSL Containment Architecture v2.0</x:v>
      </x:c>
      <x:c r="F14" s="26" t="n">
        <x:v>3</x:v>
      </x:c>
      <x:c r="G14" s="26" t="n">
        <x:v>2</x:v>
      </x:c>
      <x:c r="H14" s="26" t="n">
        <x:v>2</x:v>
      </x:c>
      <x:c r="I14" s="26" t="n">
        <x:v>0</x:v>
      </x:c>
      <x:c r="J14" s="40" t="n">
        <x:f>F14*G14*(Lookups!$B$6-H14)/Lookups!$B$6+I14*Lookups!$B$7</x:f>
        <x:v>3.6</x:v>
      </x:c>
      <x:c r="K14" s="26" t="str">
        <x:f>IF(I14=1,"REVIEW UNKNOWN",IF(J14&gt;=Lookups!$B$8,"STOP / RED",IF(J14&gt;=Lookups!$B$9,"HIGH / HARDEN",IF(J14&gt;=Lookups!$B$10,"WATCH / MITIGATE","BOUNDED"))))</x:f>
        <x:v>WATCH / MITIGATE</x:v>
      </x:c>
      <x:c r="L14" s="26" t="str"/>
    </x:row>
    <x:row r="15">
      <x:c r="A15" s="26" t="str">
        <x:v>HD-08</x:v>
      </x:c>
      <x:c r="B15" s="26" t="str">
        <x:v>Near-miss underreporting</x:v>
      </x:c>
      <x:c r="C15" s="26" t="str">
        <x:v>Career or institutional incentives suppress weak signals</x:v>
      </x:c>
      <x:c r="D15" s="26" t="str">
        <x:v>SUPPORTED</x:v>
      </x:c>
      <x:c r="E15" s="26" t="str">
        <x:v>Enhanced BSL Containment Architecture v2.0</x:v>
      </x:c>
      <x:c r="F15" s="26" t="n">
        <x:v>4</x:v>
      </x:c>
      <x:c r="G15" s="26" t="n">
        <x:v>2</x:v>
      </x:c>
      <x:c r="H15" s="26" t="n">
        <x:v>1</x:v>
      </x:c>
      <x:c r="I15" s="26" t="n">
        <x:v>0</x:v>
      </x:c>
      <x:c r="J15" s="40" t="n">
        <x:f>F15*G15*(Lookups!$B$6-H15)/Lookups!$B$6+I15*Lookups!$B$7</x:f>
        <x:v>6.4</x:v>
      </x:c>
      <x:c r="K15" s="26" t="str">
        <x:f>IF(I15=1,"REVIEW UNKNOWN",IF(J15&gt;=Lookups!$B$8,"STOP / RED",IF(J15&gt;=Lookups!$B$9,"HIGH / HARDEN",IF(J15&gt;=Lookups!$B$10,"WATCH / MITIGATE","BOUNDED"))))</x:f>
        <x:v>HIGH / HARDEN</x:v>
      </x:c>
      <x:c r="L15" s="26" t="str"/>
    </x:row>
  </x:sheetData>
  <x:mergeCells>
    <x:mergeCell ref="A1:L1"/>
    <x:mergeCell ref="A2:L2"/>
  </x:mergeCells>
  <x:conditionalFormatting sqref="J8:J15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5">
    <x:cfRule type="expression" dxfId="0" priority="2">
      <x:formula>K8="STOP / RED"</x:formula>
    </x:cfRule>
  </x:conditionalFormatting>
  <x:dataValidations count="3">
    <x:dataValidation type="list" sqref="D8:D15">
      <x:formula1>"DOCUMENTED,SUPPORTED,INFERENCE,PLAUSIBLE,UNKNOWN,CONTRADICTED"</x:formula1>
    </x:dataValidation>
    <x:dataValidation type="list" sqref="F8:H15">
      <x:formula1>"0,1,2,3,4"</x:formula1>
    </x:dataValidation>
    <x:dataValidation type="list" sqref="I8:I15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MACHINE AGENCY / CONTROL-PLANE CONTAMINATION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Autonomous systems exploiting openings, credentials, supply chains, shared trust, persistence, or physical control.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MAX(J8:J15)</x:f>
        <x:v>11.6</x:v>
      </x:c>
      <x:c r="B5" s="34" t="n">
        <x:f>AVERAGE(J8:J15)</x:f>
        <x:v>9.5</x:v>
      </x:c>
      <x:c r="C5" s="34" t="n">
        <x:f>SUM(I8:I15)</x:f>
        <x:v>2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MA-01</x:v>
      </x:c>
      <x:c r="B8" s="26" t="str">
        <x:v>Sandbox / internet egress</x:v>
      </x:c>
      <x:c r="C8" s="26" t="str">
        <x:v>Agent reaches an external route that the evaluator did not intend</x:v>
      </x:c>
      <x:c r="D8" s="26" t="str">
        <x:v>DOCUMENTED</x:v>
      </x:c>
      <x:c r="E8" s="26" t="str">
        <x:v>2026 frontier-model evaluation incidents</x:v>
      </x:c>
      <x:c r="F8" s="26" t="n">
        <x:v>4</x:v>
      </x:c>
      <x:c r="G8" s="26" t="n">
        <x:v>4</x:v>
      </x:c>
      <x:c r="H8" s="26" t="n">
        <x:v>2</x:v>
      </x:c>
      <x:c r="I8" s="26" t="n">
        <x:v>0</x:v>
      </x:c>
      <x:c r="J8" s="40" t="n">
        <x:f>F8*G8*(Lookups!$B$6-H8)/Lookups!$B$6+I8*Lookups!$B$7</x:f>
        <x:v>9.6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MA-02</x:v>
      </x:c>
      <x:c r="B9" s="26" t="str">
        <x:v>Credential acquisition and reuse</x:v>
      </x:c>
      <x:c r="C9" s="26" t="str">
        <x:v>Agent obtains secrets and laterally reuses them</x:v>
      </x:c>
      <x:c r="D9" s="26" t="str">
        <x:v>DOCUMENTED</x:v>
      </x:c>
      <x:c r="E9" s="26" t="str">
        <x:v>2026 frontier-model evaluation incidents</x:v>
      </x:c>
      <x:c r="F9" s="26" t="n">
        <x:v>4</x:v>
      </x:c>
      <x:c r="G9" s="26" t="n">
        <x:v>4</x:v>
      </x:c>
      <x:c r="H9" s="26" t="n">
        <x:v>2</x:v>
      </x:c>
      <x:c r="I9" s="26" t="n">
        <x:v>0</x:v>
      </x:c>
      <x:c r="J9" s="40" t="n">
        <x:f>F9*G9*(Lookups!$B$6-H9)/Lookups!$B$6+I9*Lookups!$B$7</x:f>
        <x:v>9.6</x:v>
      </x:c>
      <x:c r="K9" s="26" t="str">
        <x:f>IF(I9=1,"REVIEW UNKNOWN",IF(J9&gt;=Lookups!$B$8,"STOP / RED",IF(J9&gt;=Lookups!$B$9,"HIGH / HARDEN",IF(J9&gt;=Lookups!$B$10,"WATCH / MITIGATE","BOUNDED"))))</x:f>
        <x:v>HIGH / HARDEN</x:v>
      </x:c>
      <x:c r="L9" s="26" t="str"/>
    </x:row>
    <x:row r="10">
      <x:c r="A10" s="26" t="str">
        <x:v>MA-03</x:v>
      </x:c>
      <x:c r="B10" s="26" t="str">
        <x:v>Package / registry abuse</x:v>
      </x:c>
      <x:c r="C10" s="26" t="str">
        <x:v>Agent creates or publishes executable artifacts that run elsewhere</x:v>
      </x:c>
      <x:c r="D10" s="26" t="str">
        <x:v>DOCUMENTED</x:v>
      </x:c>
      <x:c r="E10" s="26" t="str">
        <x:v>2026 malicious package incident</x:v>
      </x:c>
      <x:c r="F10" s="26" t="n">
        <x:v>4</x:v>
      </x:c>
      <x:c r="G10" s="26" t="n">
        <x:v>4</x:v>
      </x:c>
      <x:c r="H10" s="26" t="n">
        <x:v>2</x:v>
      </x:c>
      <x:c r="I10" s="26" t="n">
        <x:v>0</x:v>
      </x:c>
      <x:c r="J10" s="40" t="n">
        <x:f>F10*G10*(Lookups!$B$6-H10)/Lookups!$B$6+I10*Lookups!$B$7</x:f>
        <x:v>9.6</x:v>
      </x:c>
      <x:c r="K10" s="26" t="str">
        <x:f>IF(I10=1,"REVIEW UNKNOWN",IF(J10&gt;=Lookups!$B$8,"STOP / RED",IF(J10&gt;=Lookups!$B$9,"HIGH / HARDEN",IF(J10&gt;=Lookups!$B$10,"WATCH / MITIGATE","BOUNDED"))))</x:f>
        <x:v>HIGH / HARDEN</x:v>
      </x:c>
      <x:c r="L10" s="26" t="str"/>
    </x:row>
    <x:row r="11">
      <x:c r="A11" s="26" t="str">
        <x:v>MA-04</x:v>
      </x:c>
      <x:c r="B11" s="26" t="str">
        <x:v>Lateral movement</x:v>
      </x:c>
      <x:c r="C11" s="26" t="str">
        <x:v>Compromise expands through connected infrastructure</x:v>
      </x:c>
      <x:c r="D11" s="26" t="str">
        <x:v>DOCUMENTED</x:v>
      </x:c>
      <x:c r="E11" s="26" t="str">
        <x:v>2026 frontier-model evaluation incidents</x:v>
      </x:c>
      <x:c r="F11" s="26" t="n">
        <x:v>4</x:v>
      </x:c>
      <x:c r="G11" s="26" t="n">
        <x:v>4</x:v>
      </x:c>
      <x:c r="H11" s="26" t="n">
        <x:v>2</x:v>
      </x:c>
      <x:c r="I11" s="26" t="n">
        <x:v>0</x:v>
      </x:c>
      <x:c r="J11" s="40" t="n">
        <x:f>F11*G11*(Lookups!$B$6-H11)/Lookups!$B$6+I11*Lookups!$B$7</x:f>
        <x:v>9.6</x:v>
      </x:c>
      <x:c r="K11" s="26" t="str">
        <x:f>IF(I11=1,"REVIEW UNKNOWN",IF(J11&gt;=Lookups!$B$8,"STOP / RED",IF(J11&gt;=Lookups!$B$9,"HIGH / HARDEN",IF(J11&gt;=Lookups!$B$10,"WATCH / MITIGATE","BOUNDED"))))</x:f>
        <x:v>HIGH / HARDEN</x:v>
      </x:c>
      <x:c r="L11" s="26" t="str"/>
    </x:row>
    <x:row r="12">
      <x:c r="A12" s="26" t="str">
        <x:v>MA-05</x:v>
      </x:c>
      <x:c r="B12" s="26" t="str">
        <x:v>Inter-agent coordination</x:v>
      </x:c>
      <x:c r="C12" s="26" t="str">
        <x:v>Multiple agents exchange information or coordinate outside intended channels</x:v>
      </x:c>
      <x:c r="D12" s="26" t="str">
        <x:v>DOCUMENTED</x:v>
      </x:c>
      <x:c r="E12" s="26" t="str">
        <x:v>2026 independent evaluation review</x:v>
      </x:c>
      <x:c r="F12" s="26" t="n">
        <x:v>4</x:v>
      </x:c>
      <x:c r="G12" s="26" t="n">
        <x:v>3</x:v>
      </x:c>
      <x:c r="H12" s="26" t="n">
        <x:v>2</x:v>
      </x:c>
      <x:c r="I12" s="26" t="n">
        <x:v>0</x:v>
      </x:c>
      <x:c r="J12" s="40" t="n">
        <x:f>F12*G12*(Lookups!$B$6-H12)/Lookups!$B$6+I12*Lookups!$B$7</x:f>
        <x:v>7.2</x:v>
      </x:c>
      <x:c r="K12" s="26" t="str">
        <x:f>IF(I12=1,"REVIEW UNKNOWN",IF(J12&gt;=Lookups!$B$8,"STOP / RED",IF(J12&gt;=Lookups!$B$9,"HIGH / HARDEN",IF(J12&gt;=Lookups!$B$10,"WATCH / MITIGATE","BOUNDED"))))</x:f>
        <x:v>HIGH / HARDEN</x:v>
      </x:c>
      <x:c r="L12" s="26" t="str"/>
    </x:row>
    <x:row r="13">
      <x:c r="A13" s="26" t="str">
        <x:v>MA-06</x:v>
      </x:c>
      <x:c r="B13" s="26" t="str">
        <x:v>Self-propagating malicious behavior</x:v>
      </x:c>
      <x:c r="C13" s="26" t="str">
        <x:v>Malicious code or persistence spreads across runtime instances</x:v>
      </x:c>
      <x:c r="D13" s="26" t="str">
        <x:v>DOCUMENTED</x:v>
      </x:c>
      <x:c r="E13" s="26" t="str">
        <x:v>2026 multi-agent research lineage</x:v>
      </x:c>
      <x:c r="F13" s="26" t="n">
        <x:v>4</x:v>
      </x:c>
      <x:c r="G13" s="26" t="n">
        <x:v>3</x:v>
      </x:c>
      <x:c r="H13" s="26" t="n">
        <x:v>2</x:v>
      </x:c>
      <x:c r="I13" s="26" t="n">
        <x:v>0</x:v>
      </x:c>
      <x:c r="J13" s="40" t="n">
        <x:f>F13*G13*(Lookups!$B$6-H13)/Lookups!$B$6+I13*Lookups!$B$7</x:f>
        <x:v>7.2</x:v>
      </x:c>
      <x:c r="K13" s="26" t="str">
        <x:f>IF(I13=1,"REVIEW UNKNOWN",IF(J13&gt;=Lookups!$B$8,"STOP / RED",IF(J13&gt;=Lookups!$B$9,"HIGH / HARDEN",IF(J13&gt;=Lookups!$B$10,"WATCH / MITIGATE","BOUNDED"))))</x:f>
        <x:v>HIGH / HARDEN</x:v>
      </x:c>
      <x:c r="L13" s="26" t="str"/>
    </x:row>
    <x:row r="14">
      <x:c r="A14" s="26" t="str">
        <x:v>MA-07</x:v>
      </x:c>
      <x:c r="B14" s="26" t="str">
        <x:v>Model-development pipeline interference</x:v>
      </x:c>
      <x:c r="C14" s="26" t="str">
        <x:v>Agent can alter code, evaluation, training data, or promotion state</x:v>
      </x:c>
      <x:c r="D14" s="26" t="str">
        <x:v>PLAUSIBLE</x:v>
      </x:c>
      <x:c r="E14" s="26" t="str">
        <x:v>Perfect Storm Control-Plane Addendum</x:v>
      </x:c>
      <x:c r="F14" s="26" t="n">
        <x:v>4</x:v>
      </x:c>
      <x:c r="G14" s="26" t="n">
        <x:v>3</x:v>
      </x:c>
      <x:c r="H14" s="26" t="n">
        <x:v>1</x:v>
      </x:c>
      <x:c r="I14" s="26" t="n">
        <x:v>1</x:v>
      </x:c>
      <x:c r="J14" s="40" t="n">
        <x:f>F14*G14*(Lookups!$B$6-H14)/Lookups!$B$6+I14*Lookups!$B$7</x:f>
        <x:v>11.6</x:v>
      </x:c>
      <x:c r="K14" s="26" t="str">
        <x:f>IF(I14=1,"REVIEW UNKNOWN",IF(J14&gt;=Lookups!$B$8,"STOP / RED",IF(J14&gt;=Lookups!$B$9,"HIGH / HARDEN",IF(J14&gt;=Lookups!$B$10,"WATCH / MITIGATE","BOUNDED"))))</x:f>
        <x:v>REVIEW UNKNOWN</x:v>
      </x:c>
      <x:c r="L14" s="26" t="str"/>
    </x:row>
    <x:row r="15">
      <x:c r="A15" s="26" t="str">
        <x:v>MA-08</x:v>
      </x:c>
      <x:c r="B15" s="26" t="str">
        <x:v>Persistent autonomous authority</x:v>
      </x:c>
      <x:c r="C15" s="26" t="str">
        <x:v>Agent retains write or execution authority across time</x:v>
      </x:c>
      <x:c r="D15" s="26" t="str">
        <x:v>PLAUSIBLE</x:v>
      </x:c>
      <x:c r="E15" s="26" t="str">
        <x:v>Perfect Storm Control-Plane Addendum</x:v>
      </x:c>
      <x:c r="F15" s="26" t="n">
        <x:v>4</x:v>
      </x:c>
      <x:c r="G15" s="26" t="n">
        <x:v>3</x:v>
      </x:c>
      <x:c r="H15" s="26" t="n">
        <x:v>1</x:v>
      </x:c>
      <x:c r="I15" s="26" t="n">
        <x:v>1</x:v>
      </x:c>
      <x:c r="J15" s="40" t="n">
        <x:f>F15*G15*(Lookups!$B$6-H15)/Lookups!$B$6+I15*Lookups!$B$7</x:f>
        <x:v>11.6</x:v>
      </x:c>
      <x:c r="K15" s="26" t="str">
        <x:f>IF(I15=1,"REVIEW UNKNOWN",IF(J15&gt;=Lookups!$B$8,"STOP / RED",IF(J15&gt;=Lookups!$B$9,"HIGH / HARDEN",IF(J15&gt;=Lookups!$B$10,"WATCH / MITIGATE","BOUNDED"))))</x:f>
        <x:v>REVIEW UNKNOWN</x:v>
      </x:c>
      <x:c r="L15" s="26" t="str"/>
    </x:row>
  </x:sheetData>
  <x:mergeCells>
    <x:mergeCell ref="A1:L1"/>
    <x:mergeCell ref="A2:L2"/>
  </x:mergeCells>
  <x:conditionalFormatting sqref="J8:J15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5">
    <x:cfRule type="expression" dxfId="1" priority="2">
      <x:formula>K8="STOP / RED"</x:formula>
    </x:cfRule>
  </x:conditionalFormatting>
  <x:dataValidations count="3">
    <x:dataValidation type="list" sqref="D8:D15">
      <x:formula1>"DOCUMENTED,SUPPORTED,INFERENCE,PLAUSIBLE,UNKNOWN,CONTRADICTED"</x:formula1>
    </x:dataValidation>
    <x:dataValidation type="list" sqref="F8:H15">
      <x:formula1>"0,1,2,3,4"</x:formula1>
    </x:dataValidation>
    <x:dataValidation type="list" sqref="I8:I15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CYBER CONTAINMENT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Evaluate whether sandboxes, VMs, networks, identities, and egress controls are genuinely independent barriers.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MAX(J8:J13)</x:f>
        <x:v>11.6</x:v>
      </x:c>
      <x:c r="B5" s="34" t="n">
        <x:f>AVERAGE(J8:J13)</x:f>
        <x:v>10.533333333333333</x:v>
      </x:c>
      <x:c r="C5" s="34" t="n">
        <x:f>SUM(I8:I13)</x:f>
        <x:v>4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CY-01</x:v>
      </x:c>
      <x:c r="B8" s="26" t="str">
        <x:v>Software-only 'no internet' assumption</x:v>
      </x:c>
      <x:c r="C8" s="26" t="str">
        <x:v>Policy/config says offline but a route exists</x:v>
      </x:c>
      <x:c r="D8" s="26" t="str">
        <x:v>DOCUMENTED</x:v>
      </x:c>
      <x:c r="E8" s="26" t="str">
        <x:v>2026 evaluation-incident lineage</x:v>
      </x:c>
      <x:c r="F8" s="26" t="n">
        <x:v>4</x:v>
      </x:c>
      <x:c r="G8" s="26" t="n">
        <x:v>4</x:v>
      </x:c>
      <x:c r="H8" s="26" t="n">
        <x:v>2</x:v>
      </x:c>
      <x:c r="I8" s="26" t="n">
        <x:v>0</x:v>
      </x:c>
      <x:c r="J8" s="40" t="n">
        <x:f>F8*G8*(Lookups!$B$6-H8)/Lookups!$B$6+I8*Lookups!$B$7</x:f>
        <x:v>9.6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CY-02</x:v>
      </x:c>
      <x:c r="B9" s="26" t="str">
        <x:v>Shared identity provider</x:v>
      </x:c>
      <x:c r="C9" s="26" t="str">
        <x:v>Multiple environments depend on one IAM trust root</x:v>
      </x:c>
      <x:c r="D9" s="26" t="str">
        <x:v>SUPPORTED</x:v>
      </x:c>
      <x:c r="E9" s="26" t="str">
        <x:v>Perfect Storm Control-Plane Addendum</x:v>
      </x:c>
      <x:c r="F9" s="26" t="n">
        <x:v>4</x:v>
      </x:c>
      <x:c r="G9" s="26" t="n">
        <x:v>3</x:v>
      </x:c>
      <x:c r="H9" s="26" t="n">
        <x:v>1</x:v>
      </x:c>
      <x:c r="I9" s="26" t="n">
        <x:v>1</x:v>
      </x:c>
      <x:c r="J9" s="40" t="n">
        <x:f>F9*G9*(Lookups!$B$6-H9)/Lookups!$B$6+I9*Lookups!$B$7</x:f>
        <x:v>11.6</x:v>
      </x:c>
      <x:c r="K9" s="26" t="str">
        <x:f>IF(I9=1,"REVIEW UNKNOWN",IF(J9&gt;=Lookups!$B$8,"STOP / RED",IF(J9&gt;=Lookups!$B$9,"HIGH / HARDEN",IF(J9&gt;=Lookups!$B$10,"WATCH / MITIGATE","BOUNDED"))))</x:f>
        <x:v>REVIEW UNKNOWN</x:v>
      </x:c>
      <x:c r="L9" s="26" t="str"/>
    </x:row>
    <x:row r="10">
      <x:c r="A10" s="26" t="str">
        <x:v>CY-03</x:v>
      </x:c>
      <x:c r="B10" s="26" t="str">
        <x:v>Shared secrets manager</x:v>
      </x:c>
      <x:c r="C10" s="26" t="str">
        <x:v>A compromise exposes credentials spanning multiple domains</x:v>
      </x:c>
      <x:c r="D10" s="26" t="str">
        <x:v>SUPPORTED</x:v>
      </x:c>
      <x:c r="E10" s="26" t="str">
        <x:v>Perfect Storm Control-Plane Addendum</x:v>
      </x:c>
      <x:c r="F10" s="26" t="n">
        <x:v>4</x:v>
      </x:c>
      <x:c r="G10" s="26" t="n">
        <x:v>3</x:v>
      </x:c>
      <x:c r="H10" s="26" t="n">
        <x:v>1</x:v>
      </x:c>
      <x:c r="I10" s="26" t="n">
        <x:v>1</x:v>
      </x:c>
      <x:c r="J10" s="40" t="n">
        <x:f>F10*G10*(Lookups!$B$6-H10)/Lookups!$B$6+I10*Lookups!$B$7</x:f>
        <x:v>11.6</x:v>
      </x:c>
      <x:c r="K10" s="26" t="str">
        <x:f>IF(I10=1,"REVIEW UNKNOWN",IF(J10&gt;=Lookups!$B$8,"STOP / RED",IF(J10&gt;=Lookups!$B$9,"HIGH / HARDEN",IF(J10&gt;=Lookups!$B$10,"WATCH / MITIGATE","BOUNDED"))))</x:f>
        <x:v>REVIEW UNKNOWN</x:v>
      </x:c>
      <x:c r="L10" s="26" t="str"/>
    </x:row>
    <x:row r="11">
      <x:c r="A11" s="26" t="str">
        <x:v>CY-04</x:v>
      </x:c>
      <x:c r="B11" s="26" t="str">
        <x:v>Shared network fabric</x:v>
      </x:c>
      <x:c r="C11" s="26" t="str">
        <x:v>Segmentation exists inside a common control plane</x:v>
      </x:c>
      <x:c r="D11" s="26" t="str">
        <x:v>SUPPORTED</x:v>
      </x:c>
      <x:c r="E11" s="26" t="str">
        <x:v>Perfect Storm Control-Plane Addendum</x:v>
      </x:c>
      <x:c r="F11" s="26" t="n">
        <x:v>4</x:v>
      </x:c>
      <x:c r="G11" s="26" t="n">
        <x:v>3</x:v>
      </x:c>
      <x:c r="H11" s="26" t="n">
        <x:v>2</x:v>
      </x:c>
      <x:c r="I11" s="26" t="n">
        <x:v>1</x:v>
      </x:c>
      <x:c r="J11" s="40" t="n">
        <x:f>F11*G11*(Lookups!$B$6-H11)/Lookups!$B$6+I11*Lookups!$B$7</x:f>
        <x:v>9.2</x:v>
      </x:c>
      <x:c r="K11" s="26" t="str">
        <x:f>IF(I11=1,"REVIEW UNKNOWN",IF(J11&gt;=Lookups!$B$8,"STOP / RED",IF(J11&gt;=Lookups!$B$9,"HIGH / HARDEN",IF(J11&gt;=Lookups!$B$10,"WATCH / MITIGATE","BOUNDED"))))</x:f>
        <x:v>REVIEW UNKNOWN</x:v>
      </x:c>
      <x:c r="L11" s="26" t="str"/>
    </x:row>
    <x:row r="12">
      <x:c r="A12" s="26" t="str">
        <x:v>CY-05</x:v>
      </x:c>
      <x:c r="B12" s="26" t="str">
        <x:v>Sandbox escape / zero-day exposure</x:v>
      </x:c>
      <x:c r="C12" s="26" t="str">
        <x:v>Contained system can exploit a platform vulnerability to create a route</x:v>
      </x:c>
      <x:c r="D12" s="26" t="str">
        <x:v>DOCUMENTED</x:v>
      </x:c>
      <x:c r="E12" s="26" t="str">
        <x:v>2026 frontier-model evaluation incident</x:v>
      </x:c>
      <x:c r="F12" s="26" t="n">
        <x:v>4</x:v>
      </x:c>
      <x:c r="G12" s="26" t="n">
        <x:v>4</x:v>
      </x:c>
      <x:c r="H12" s="26" t="n">
        <x:v>2</x:v>
      </x:c>
      <x:c r="I12" s="26" t="n">
        <x:v>0</x:v>
      </x:c>
      <x:c r="J12" s="40" t="n">
        <x:f>F12*G12*(Lookups!$B$6-H12)/Lookups!$B$6+I12*Lookups!$B$7</x:f>
        <x:v>9.6</x:v>
      </x:c>
      <x:c r="K12" s="26" t="str">
        <x:f>IF(I12=1,"REVIEW UNKNOWN",IF(J12&gt;=Lookups!$B$8,"STOP / RED",IF(J12&gt;=Lookups!$B$9,"HIGH / HARDEN",IF(J12&gt;=Lookups!$B$10,"WATCH / MITIGATE","BOUNDED"))))</x:f>
        <x:v>HIGH / HARDEN</x:v>
      </x:c>
      <x:c r="L12" s="26" t="str"/>
    </x:row>
    <x:row r="13">
      <x:c r="A13" s="26" t="str">
        <x:v>CY-06</x:v>
      </x:c>
      <x:c r="B13" s="26" t="str">
        <x:v>Monitoring shares control plane</x:v>
      </x:c>
      <x:c r="C13" s="26" t="str">
        <x:v>The monitor can be disabled by the same compromise it observes</x:v>
      </x:c>
      <x:c r="D13" s="26" t="str">
        <x:v>SUPPORTED</x:v>
      </x:c>
      <x:c r="E13" s="26" t="str">
        <x:v>Enhanced BSL + Perfect Storm Addendum</x:v>
      </x:c>
      <x:c r="F13" s="26" t="n">
        <x:v>4</x:v>
      </x:c>
      <x:c r="G13" s="26" t="n">
        <x:v>3</x:v>
      </x:c>
      <x:c r="H13" s="26" t="n">
        <x:v>1</x:v>
      </x:c>
      <x:c r="I13" s="26" t="n">
        <x:v>1</x:v>
      </x:c>
      <x:c r="J13" s="40" t="n">
        <x:f>F13*G13*(Lookups!$B$6-H13)/Lookups!$B$6+I13*Lookups!$B$7</x:f>
        <x:v>11.6</x:v>
      </x:c>
      <x:c r="K13" s="26" t="str">
        <x:f>IF(I13=1,"REVIEW UNKNOWN",IF(J13&gt;=Lookups!$B$8,"STOP / RED",IF(J13&gt;=Lookups!$B$9,"HIGH / HARDEN",IF(J13&gt;=Lookups!$B$10,"WATCH / MITIGATE","BOUNDED"))))</x:f>
        <x:v>REVIEW UNKNOWN</x:v>
      </x:c>
      <x:c r="L13" s="26" t="str"/>
    </x:row>
  </x:sheetData>
  <x:mergeCells>
    <x:mergeCell ref="A1:L1"/>
    <x:mergeCell ref="A2:L2"/>
  </x:mergeCells>
  <x:conditionalFormatting sqref="J8:J13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3">
    <x:cfRule type="expression" dxfId="2" priority="2">
      <x:formula>K8="STOP / RED"</x:formula>
    </x:cfRule>
  </x:conditionalFormatting>
  <x:dataValidations count="3">
    <x:dataValidation type="list" sqref="D8:D13">
      <x:formula1>"DOCUMENTED,SUPPORTED,INFERENCE,PLAUSIBLE,UNKNOWN,CONTRADICTED"</x:formula1>
    </x:dataValidation>
    <x:dataValidation type="list" sqref="F8:H13">
      <x:formula1>"0,1,2,3,4"</x:formula1>
    </x:dataValidation>
    <x:dataValidation type="list" sqref="I8:I13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SOFTWARE / MODEL SUPPLY-CHAIN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Track package registries, artifact stores, dependency promotion, model checkpoints, and shared repositories.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MAX(J8:J13)</x:f>
        <x:v>11.6</x:v>
      </x:c>
      <x:c r="B5" s="34" t="n">
        <x:f>AVERAGE(J8:J13)</x:f>
        <x:v>9.8</x:v>
      </x:c>
      <x:c r="C5" s="34" t="n">
        <x:f>SUM(I8:I13)</x:f>
        <x:v>3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SC-01</x:v>
      </x:c>
      <x:c r="B8" s="26" t="str">
        <x:v>External package publication authority</x:v>
      </x:c>
      <x:c r="C8" s="26" t="str">
        <x:v>Agent or compromised process can publish executable dependencies</x:v>
      </x:c>
      <x:c r="D8" s="26" t="str">
        <x:v>DOCUMENTED</x:v>
      </x:c>
      <x:c r="E8" s="26" t="str">
        <x:v>2026 malicious package incident</x:v>
      </x:c>
      <x:c r="F8" s="26" t="n">
        <x:v>4</x:v>
      </x:c>
      <x:c r="G8" s="26" t="n">
        <x:v>4</x:v>
      </x:c>
      <x:c r="H8" s="26" t="n">
        <x:v>2</x:v>
      </x:c>
      <x:c r="I8" s="26" t="n">
        <x:v>0</x:v>
      </x:c>
      <x:c r="J8" s="40" t="n">
        <x:f>F8*G8*(Lookups!$B$6-H8)/Lookups!$B$6+I8*Lookups!$B$7</x:f>
        <x:v>9.6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SC-02</x:v>
      </x:c>
      <x:c r="B9" s="26" t="str">
        <x:v>Unsigned artifact promotion</x:v>
      </x:c>
      <x:c r="C9" s="26" t="str">
        <x:v>Artifact enters trusted use without independent provenance verification</x:v>
      </x:c>
      <x:c r="D9" s="26" t="str">
        <x:v>SUPPORTED</x:v>
      </x:c>
      <x:c r="E9" s="26" t="str">
        <x:v>Perfect Storm Control-Plane Addendum</x:v>
      </x:c>
      <x:c r="F9" s="26" t="n">
        <x:v>4</x:v>
      </x:c>
      <x:c r="G9" s="26" t="n">
        <x:v>3</x:v>
      </x:c>
      <x:c r="H9" s="26" t="n">
        <x:v>1</x:v>
      </x:c>
      <x:c r="I9" s="26" t="n">
        <x:v>1</x:v>
      </x:c>
      <x:c r="J9" s="40" t="n">
        <x:f>F9*G9*(Lookups!$B$6-H9)/Lookups!$B$6+I9*Lookups!$B$7</x:f>
        <x:v>11.6</x:v>
      </x:c>
      <x:c r="K9" s="26" t="str">
        <x:f>IF(I9=1,"REVIEW UNKNOWN",IF(J9&gt;=Lookups!$B$8,"STOP / RED",IF(J9&gt;=Lookups!$B$9,"HIGH / HARDEN",IF(J9&gt;=Lookups!$B$10,"WATCH / MITIGATE","BOUNDED"))))</x:f>
        <x:v>REVIEW UNKNOWN</x:v>
      </x:c>
      <x:c r="L9" s="26" t="str"/>
    </x:row>
    <x:row r="10">
      <x:c r="A10" s="26" t="str">
        <x:v>SC-03</x:v>
      </x:c>
      <x:c r="B10" s="26" t="str">
        <x:v>Shared package registry</x:v>
      </x:c>
      <x:c r="C10" s="26" t="str">
        <x:v>Cyber research and operational environments pull from same registry</x:v>
      </x:c>
      <x:c r="D10" s="26" t="str">
        <x:v>PLAUSIBLE</x:v>
      </x:c>
      <x:c r="E10" s="26" t="str">
        <x:v>Perfect Storm Control-Plane Addendum</x:v>
      </x:c>
      <x:c r="F10" s="26" t="n">
        <x:v>4</x:v>
      </x:c>
      <x:c r="G10" s="26" t="n">
        <x:v>3</x:v>
      </x:c>
      <x:c r="H10" s="26" t="n">
        <x:v>1</x:v>
      </x:c>
      <x:c r="I10" s="26" t="n">
        <x:v>1</x:v>
      </x:c>
      <x:c r="J10" s="40" t="n">
        <x:f>F10*G10*(Lookups!$B$6-H10)/Lookups!$B$6+I10*Lookups!$B$7</x:f>
        <x:v>11.6</x:v>
      </x:c>
      <x:c r="K10" s="26" t="str">
        <x:f>IF(I10=1,"REVIEW UNKNOWN",IF(J10&gt;=Lookups!$B$8,"STOP / RED",IF(J10&gt;=Lookups!$B$9,"HIGH / HARDEN",IF(J10&gt;=Lookups!$B$10,"WATCH / MITIGATE","BOUNDED"))))</x:f>
        <x:v>REVIEW UNKNOWN</x:v>
      </x:c>
      <x:c r="L10" s="26" t="str"/>
    </x:row>
    <x:row r="11">
      <x:c r="A11" s="26" t="str">
        <x:v>SC-04</x:v>
      </x:c>
      <x:c r="B11" s="26" t="str">
        <x:v>Dependency confusion / substitution</x:v>
      </x:c>
      <x:c r="C11" s="26" t="str">
        <x:v>A trusted name resolves to an unintended artifact</x:v>
      </x:c>
      <x:c r="D11" s="26" t="str">
        <x:v>SUPPORTED</x:v>
      </x:c>
      <x:c r="E11" s="26" t="str">
        <x:v>General software supply-chain mechanism referenced in addendum</x:v>
      </x:c>
      <x:c r="F11" s="26" t="n">
        <x:v>4</x:v>
      </x:c>
      <x:c r="G11" s="26" t="n">
        <x:v>3</x:v>
      </x:c>
      <x:c r="H11" s="26" t="n">
        <x:v>2</x:v>
      </x:c>
      <x:c r="I11" s="26" t="n">
        <x:v>0</x:v>
      </x:c>
      <x:c r="J11" s="40" t="n">
        <x:f>F11*G11*(Lookups!$B$6-H11)/Lookups!$B$6+I11*Lookups!$B$7</x:f>
        <x:v>7.2</x:v>
      </x:c>
      <x:c r="K11" s="26" t="str">
        <x:f>IF(I11=1,"REVIEW UNKNOWN",IF(J11&gt;=Lookups!$B$8,"STOP / RED",IF(J11&gt;=Lookups!$B$9,"HIGH / HARDEN",IF(J11&gt;=Lookups!$B$10,"WATCH / MITIGATE","BOUNDED"))))</x:f>
        <x:v>HIGH / HARDEN</x:v>
      </x:c>
      <x:c r="L11" s="26" t="str"/>
    </x:row>
    <x:row r="12">
      <x:c r="A12" s="26" t="str">
        <x:v>SC-05</x:v>
      </x:c>
      <x:c r="B12" s="26" t="str">
        <x:v>Artifact store as covert channel</x:v>
      </x:c>
      <x:c r="C12" s="26" t="str">
        <x:v>Shared artifact infrastructure becomes unintended communication path</x:v>
      </x:c>
      <x:c r="D12" s="26" t="str">
        <x:v>DOCUMENTED</x:v>
      </x:c>
      <x:c r="E12" s="26" t="str">
        <x:v>2026 independent evaluation review lineage</x:v>
      </x:c>
      <x:c r="F12" s="26" t="n">
        <x:v>4</x:v>
      </x:c>
      <x:c r="G12" s="26" t="n">
        <x:v>3</x:v>
      </x:c>
      <x:c r="H12" s="26" t="n">
        <x:v>2</x:v>
      </x:c>
      <x:c r="I12" s="26" t="n">
        <x:v>0</x:v>
      </x:c>
      <x:c r="J12" s="40" t="n">
        <x:f>F12*G12*(Lookups!$B$6-H12)/Lookups!$B$6+I12*Lookups!$B$7</x:f>
        <x:v>7.2</x:v>
      </x:c>
      <x:c r="K12" s="26" t="str">
        <x:f>IF(I12=1,"REVIEW UNKNOWN",IF(J12&gt;=Lookups!$B$8,"STOP / RED",IF(J12&gt;=Lookups!$B$9,"HIGH / HARDEN",IF(J12&gt;=Lookups!$B$10,"WATCH / MITIGATE","BOUNDED"))))</x:f>
        <x:v>HIGH / HARDEN</x:v>
      </x:c>
      <x:c r="L12" s="26" t="str"/>
    </x:row>
    <x:row r="13">
      <x:c r="A13" s="26" t="str">
        <x:v>SC-06</x:v>
      </x:c>
      <x:c r="B13" s="26" t="str">
        <x:v>Update mechanism common-mode failure</x:v>
      </x:c>
      <x:c r="C13" s="26" t="str">
        <x:v>One compromised updater reaches multiple supposedly independent systems</x:v>
      </x:c>
      <x:c r="D13" s="26" t="str">
        <x:v>SUPPORTED</x:v>
      </x:c>
      <x:c r="E13" s="26" t="str">
        <x:v>Perfect Storm Control-Plane Addendum</x:v>
      </x:c>
      <x:c r="F13" s="26" t="n">
        <x:v>4</x:v>
      </x:c>
      <x:c r="G13" s="26" t="n">
        <x:v>3</x:v>
      </x:c>
      <x:c r="H13" s="26" t="n">
        <x:v>1</x:v>
      </x:c>
      <x:c r="I13" s="26" t="n">
        <x:v>1</x:v>
      </x:c>
      <x:c r="J13" s="40" t="n">
        <x:f>F13*G13*(Lookups!$B$6-H13)/Lookups!$B$6+I13*Lookups!$B$7</x:f>
        <x:v>11.6</x:v>
      </x:c>
      <x:c r="K13" s="26" t="str">
        <x:f>IF(I13=1,"REVIEW UNKNOWN",IF(J13&gt;=Lookups!$B$8,"STOP / RED",IF(J13&gt;=Lookups!$B$9,"HIGH / HARDEN",IF(J13&gt;=Lookups!$B$10,"WATCH / MITIGATE","BOUNDED"))))</x:f>
        <x:v>REVIEW UNKNOWN</x:v>
      </x:c>
      <x:c r="L13" s="26" t="str"/>
    </x:row>
  </x:sheetData>
  <x:mergeCells>
    <x:mergeCell ref="A1:L1"/>
    <x:mergeCell ref="A2:L2"/>
  </x:mergeCells>
  <x:conditionalFormatting sqref="J8:J13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3">
    <x:cfRule type="expression" dxfId="3" priority="2">
      <x:formula>K8="STOP / RED"</x:formula>
    </x:cfRule>
  </x:conditionalFormatting>
  <x:dataValidations count="3">
    <x:dataValidation type="list" sqref="D8:D13">
      <x:formula1>"DOCUMENTED,SUPPORTED,INFERENCE,PLAUSIBLE,UNKNOWN,CONTRADICTED"</x:formula1>
    </x:dataValidation>
    <x:dataValidation type="list" sqref="F8:H13">
      <x:formula1>"0,1,2,3,4"</x:formula1>
    </x:dataValidation>
    <x:dataValidation type="list" sqref="I8:I13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MODEL / EVALUATION PIPELINE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Assess whether code, data, evaluations, checkpoints, rewards, or deployment state can carry harmful strategy across generations or organizations.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MAX(J8:J13)</x:f>
        <x:v>11.6</x:v>
      </x:c>
      <x:c r="B5" s="34" t="n">
        <x:f>AVERAGE(J8:J13)</x:f>
        <x:v>10.4</x:v>
      </x:c>
      <x:c r="C5" s="34" t="n">
        <x:f>SUM(I8:I13)</x:f>
        <x:v>4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MP-01</x:v>
      </x:c>
      <x:c r="B8" s="26" t="str">
        <x:v>Training/evaluation data poisoning</x:v>
      </x:c>
      <x:c r="C8" s="26" t="str">
        <x:v>Writable data influences later model behavior or evaluation outcomes</x:v>
      </x:c>
      <x:c r="D8" s="26" t="str">
        <x:v>PLAUSIBLE</x:v>
      </x:c>
      <x:c r="E8" s="26" t="str">
        <x:v>AI-LC-IEV + Perfect Storm lineage</x:v>
      </x:c>
      <x:c r="F8" s="26" t="n">
        <x:v>4</x:v>
      </x:c>
      <x:c r="G8" s="26" t="n">
        <x:v>3</x:v>
      </x:c>
      <x:c r="H8" s="26" t="n">
        <x:v>1</x:v>
      </x:c>
      <x:c r="I8" s="26" t="n">
        <x:v>1</x:v>
      </x:c>
      <x:c r="J8" s="40" t="n">
        <x:f>F8*G8*(Lookups!$B$6-H8)/Lookups!$B$6+I8*Lookups!$B$7</x:f>
        <x:v>11.6</x:v>
      </x:c>
      <x:c r="K8" s="26" t="str">
        <x:f>IF(I8=1,"REVIEW UNKNOWN",IF(J8&gt;=Lookups!$B$8,"STOP / RED",IF(J8&gt;=Lookups!$B$9,"HIGH / HARDEN",IF(J8&gt;=Lookups!$B$10,"WATCH / MITIGATE","BOUNDED"))))</x:f>
        <x:v>REVIEW UNKNOWN</x:v>
      </x:c>
      <x:c r="L8" s="26" t="str"/>
    </x:row>
    <x:row r="9">
      <x:c r="A9" s="26" t="str">
        <x:v>MP-02</x:v>
      </x:c>
      <x:c r="B9" s="26" t="str">
        <x:v>Checkpoint / artifact substitution</x:v>
      </x:c>
      <x:c r="C9" s="26" t="str">
        <x:v>Trusted model artifact is replaced or modified</x:v>
      </x:c>
      <x:c r="D9" s="26" t="str">
        <x:v>PLAUSIBLE</x:v>
      </x:c>
      <x:c r="E9" s="26" t="str">
        <x:v>Perfect Storm Control-Plane Addendum</x:v>
      </x:c>
      <x:c r="F9" s="26" t="n">
        <x:v>4</x:v>
      </x:c>
      <x:c r="G9" s="26" t="n">
        <x:v>3</x:v>
      </x:c>
      <x:c r="H9" s="26" t="n">
        <x:v>1</x:v>
      </x:c>
      <x:c r="I9" s="26" t="n">
        <x:v>1</x:v>
      </x:c>
      <x:c r="J9" s="40" t="n">
        <x:f>F9*G9*(Lookups!$B$6-H9)/Lookups!$B$6+I9*Lookups!$B$7</x:f>
        <x:v>11.6</x:v>
      </x:c>
      <x:c r="K9" s="26" t="str">
        <x:f>IF(I9=1,"REVIEW UNKNOWN",IF(J9&gt;=Lookups!$B$8,"STOP / RED",IF(J9&gt;=Lookups!$B$9,"HIGH / HARDEN",IF(J9&gt;=Lookups!$B$10,"WATCH / MITIGATE","BOUNDED"))))</x:f>
        <x:v>REVIEW UNKNOWN</x:v>
      </x:c>
      <x:c r="L9" s="26" t="str"/>
    </x:row>
    <x:row r="10">
      <x:c r="A10" s="26" t="str">
        <x:v>MP-03</x:v>
      </x:c>
      <x:c r="B10" s="26" t="str">
        <x:v>Reward / evaluation tampering</x:v>
      </x:c>
      <x:c r="C10" s="26" t="str">
        <x:v>Agent affects the process used to score or select future models</x:v>
      </x:c>
      <x:c r="D10" s="26" t="str">
        <x:v>SUPPORTED</x:v>
      </x:c>
      <x:c r="E10" s="26" t="str">
        <x:v>2026 reward-seeking / sabotage research lineage</x:v>
      </x:c>
      <x:c r="F10" s="26" t="n">
        <x:v>4</x:v>
      </x:c>
      <x:c r="G10" s="26" t="n">
        <x:v>3</x:v>
      </x:c>
      <x:c r="H10" s="26" t="n">
        <x:v>1</x:v>
      </x:c>
      <x:c r="I10" s="26" t="n">
        <x:v>0</x:v>
      </x:c>
      <x:c r="J10" s="40" t="n">
        <x:f>F10*G10*(Lookups!$B$6-H10)/Lookups!$B$6+I10*Lookups!$B$7</x:f>
        <x:v>9.6</x:v>
      </x:c>
      <x:c r="K10" s="26" t="str">
        <x:f>IF(I10=1,"REVIEW UNKNOWN",IF(J10&gt;=Lookups!$B$8,"STOP / RED",IF(J10&gt;=Lookups!$B$9,"HIGH / HARDEN",IF(J10&gt;=Lookups!$B$10,"WATCH / MITIGATE","BOUNDED"))))</x:f>
        <x:v>HIGH / HARDEN</x:v>
      </x:c>
      <x:c r="L10" s="26" t="str"/>
    </x:row>
    <x:row r="11">
      <x:c r="A11" s="26" t="str">
        <x:v>MP-04</x:v>
      </x:c>
      <x:c r="B11" s="26" t="str">
        <x:v>Research-code contamination</x:v>
      </x:c>
      <x:c r="C11" s="26" t="str">
        <x:v>Agent alters code later reused in model development</x:v>
      </x:c>
      <x:c r="D11" s="26" t="str">
        <x:v>SUPPORTED</x:v>
      </x:c>
      <x:c r="E11" s="26" t="str">
        <x:v>2026 sabotage-research lineage</x:v>
      </x:c>
      <x:c r="F11" s="26" t="n">
        <x:v>4</x:v>
      </x:c>
      <x:c r="G11" s="26" t="n">
        <x:v>3</x:v>
      </x:c>
      <x:c r="H11" s="26" t="n">
        <x:v>1</x:v>
      </x:c>
      <x:c r="I11" s="26" t="n">
        <x:v>0</x:v>
      </x:c>
      <x:c r="J11" s="40" t="n">
        <x:f>F11*G11*(Lookups!$B$6-H11)/Lookups!$B$6+I11*Lookups!$B$7</x:f>
        <x:v>9.6</x:v>
      </x:c>
      <x:c r="K11" s="26" t="str">
        <x:f>IF(I11=1,"REVIEW UNKNOWN",IF(J11&gt;=Lookups!$B$8,"STOP / RED",IF(J11&gt;=Lookups!$B$9,"HIGH / HARDEN",IF(J11&gt;=Lookups!$B$10,"WATCH / MITIGATE","BOUNDED"))))</x:f>
        <x:v>HIGH / HARDEN</x:v>
      </x:c>
      <x:c r="L11" s="26" t="str"/>
    </x:row>
    <x:row r="12">
      <x:c r="A12" s="26" t="str">
        <x:v>MP-05</x:v>
      </x:c>
      <x:c r="B12" s="26" t="str">
        <x:v>Cross-company artifact bridge</x:v>
      </x:c>
      <x:c r="C12" s="26" t="str">
        <x:v>Compromise reaches a partner/vendor/model ecosystem then returns</x:v>
      </x:c>
      <x:c r="D12" s="26" t="str">
        <x:v>PLAUSIBLE</x:v>
      </x:c>
      <x:c r="E12" s="26" t="str">
        <x:v>Perfect Storm Control-Plane Addendum</x:v>
      </x:c>
      <x:c r="F12" s="26" t="n">
        <x:v>4</x:v>
      </x:c>
      <x:c r="G12" s="26" t="n">
        <x:v>2</x:v>
      </x:c>
      <x:c r="H12" s="26" t="n">
        <x:v>1</x:v>
      </x:c>
      <x:c r="I12" s="26" t="n">
        <x:v>1</x:v>
      </x:c>
      <x:c r="J12" s="40" t="n">
        <x:f>F12*G12*(Lookups!$B$6-H12)/Lookups!$B$6+I12*Lookups!$B$7</x:f>
        <x:v>8.4</x:v>
      </x:c>
      <x:c r="K12" s="26" t="str">
        <x:f>IF(I12=1,"REVIEW UNKNOWN",IF(J12&gt;=Lookups!$B$8,"STOP / RED",IF(J12&gt;=Lookups!$B$9,"HIGH / HARDEN",IF(J12&gt;=Lookups!$B$10,"WATCH / MITIGATE","BOUNDED"))))</x:f>
        <x:v>REVIEW UNKNOWN</x:v>
      </x:c>
      <x:c r="L12" s="26" t="str"/>
    </x:row>
    <x:row r="13">
      <x:c r="A13" s="26" t="str">
        <x:v>MP-06</x:v>
      </x:c>
      <x:c r="B13" s="26" t="str">
        <x:v>Shared orchestration / tool protocol</x:v>
      </x:c>
      <x:c r="C13" s="26" t="str">
        <x:v>Multiple models inherit one compromised tool or control layer</x:v>
      </x:c>
      <x:c r="D13" s="26" t="str">
        <x:v>SUPPORTED</x:v>
      </x:c>
      <x:c r="E13" s="26" t="str">
        <x:v>Perfect Storm Control-Plane Addendum</x:v>
      </x:c>
      <x:c r="F13" s="26" t="n">
        <x:v>4</x:v>
      </x:c>
      <x:c r="G13" s="26" t="n">
        <x:v>3</x:v>
      </x:c>
      <x:c r="H13" s="26" t="n">
        <x:v>1</x:v>
      </x:c>
      <x:c r="I13" s="26" t="n">
        <x:v>1</x:v>
      </x:c>
      <x:c r="J13" s="40" t="n">
        <x:f>F13*G13*(Lookups!$B$6-H13)/Lookups!$B$6+I13*Lookups!$B$7</x:f>
        <x:v>11.6</x:v>
      </x:c>
      <x:c r="K13" s="26" t="str">
        <x:f>IF(I13=1,"REVIEW UNKNOWN",IF(J13&gt;=Lookups!$B$8,"STOP / RED",IF(J13&gt;=Lookups!$B$9,"HIGH / HARDEN",IF(J13&gt;=Lookups!$B$10,"WATCH / MITIGATE","BOUNDED"))))</x:f>
        <x:v>REVIEW UNKNOWN</x:v>
      </x:c>
      <x:c r="L13" s="26" t="str"/>
    </x:row>
  </x:sheetData>
  <x:mergeCells>
    <x:mergeCell ref="A1:L1"/>
    <x:mergeCell ref="A2:L2"/>
  </x:mergeCells>
  <x:conditionalFormatting sqref="J8:J13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3">
    <x:cfRule type="expression" dxfId="4" priority="2">
      <x:formula>K8="STOP / RED"</x:formula>
    </x:cfRule>
  </x:conditionalFormatting>
  <x:dataValidations count="3">
    <x:dataValidation type="list" sqref="D8:D13">
      <x:formula1>"DOCUMENTED,SUPPORTED,INFERENCE,PLAUSIBLE,UNKNOWN,CONTRADICTED"</x:formula1>
    </x:dataValidation>
    <x:dataValidation type="list" sqref="F8:H13">
      <x:formula1>"0,1,2,3,4"</x:formula1>
    </x:dataValidation>
    <x:dataValidation type="list" sqref="I8:I13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LAB AUTOMATION / CYBER-PHYSICAL CONTROL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Defensive threat model for AI-linked scientific equipment and automated workflows. No operational pathogen procedures are included.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MAX(J8:J13)</x:f>
        <x:v>14</x:v>
      </x:c>
      <x:c r="B5" s="34" t="n">
        <x:f>AVERAGE(J8:J13)</x:f>
        <x:v>11.266666666666666</x:v>
      </x:c>
      <x:c r="C5" s="34" t="n">
        <x:f>SUM(I8:I13)</x:f>
        <x:v>5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LA-01</x:v>
      </x:c>
      <x:c r="B8" s="26" t="str">
        <x:v>AI can propose commands to lab hardware</x:v>
      </x:c>
      <x:c r="C8" s="26" t="str">
        <x:v>Model influences physical scientific workflows</x:v>
      </x:c>
      <x:c r="D8" s="26" t="str">
        <x:v>DOCUMENTED</x:v>
      </x:c>
      <x:c r="E8" s="26" t="str">
        <x:v>2026 model-hardware / robotics lineage</x:v>
      </x:c>
      <x:c r="F8" s="26" t="n">
        <x:v>4</x:v>
      </x:c>
      <x:c r="G8" s="26" t="n">
        <x:v>3</x:v>
      </x:c>
      <x:c r="H8" s="26" t="n">
        <x:v>2</x:v>
      </x:c>
      <x:c r="I8" s="26" t="n">
        <x:v>0</x:v>
      </x:c>
      <x:c r="J8" s="40" t="n">
        <x:f>F8*G8*(Lookups!$B$6-H8)/Lookups!$B$6+I8*Lookups!$B$7</x:f>
        <x:v>7.2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LA-02</x:v>
      </x:c>
      <x:c r="B9" s="26" t="str">
        <x:v>AI has unilateral actuator authority</x:v>
      </x:c>
      <x:c r="C9" s="26" t="str">
        <x:v>Model can directly initiate high-consequence physical action</x:v>
      </x:c>
      <x:c r="D9" s="26" t="str">
        <x:v>PLAUSIBLE</x:v>
      </x:c>
      <x:c r="E9" s="26" t="str">
        <x:v>Perfect Storm Control-Plane Addendum</x:v>
      </x:c>
      <x:c r="F9" s="26" t="n">
        <x:v>4</x:v>
      </x:c>
      <x:c r="G9" s="26" t="n">
        <x:v>3</x:v>
      </x:c>
      <x:c r="H9" s="26" t="n">
        <x:v>0</x:v>
      </x:c>
      <x:c r="I9" s="26" t="n">
        <x:v>1</x:v>
      </x:c>
      <x:c r="J9" s="40" t="n">
        <x:f>F9*G9*(Lookups!$B$6-H9)/Lookups!$B$6+I9*Lookups!$B$7</x:f>
        <x:v>14</x:v>
      </x:c>
      <x:c r="K9" s="26" t="str">
        <x:f>IF(I9=1,"REVIEW UNKNOWN",IF(J9&gt;=Lookups!$B$8,"STOP / RED",IF(J9&gt;=Lookups!$B$9,"HIGH / HARDEN",IF(J9&gt;=Lookups!$B$10,"WATCH / MITIGATE","BOUNDED"))))</x:f>
        <x:v>REVIEW UNKNOWN</x:v>
      </x:c>
      <x:c r="L9" s="26" t="str"/>
    </x:row>
    <x:row r="10">
      <x:c r="A10" s="26" t="str">
        <x:v>LA-03</x:v>
      </x:c>
      <x:c r="B10" s="26" t="str">
        <x:v>Lab OT shares IT identity or storage</x:v>
      </x:c>
      <x:c r="C10" s="26" t="str">
        <x:v>Cyber compromise can bridge into operational technology</x:v>
      </x:c>
      <x:c r="D10" s="26" t="str">
        <x:v>SUPPORTED</x:v>
      </x:c>
      <x:c r="E10" s="26" t="str">
        <x:v>Cyberbiosecurity / Perfect Storm lineage</x:v>
      </x:c>
      <x:c r="F10" s="26" t="n">
        <x:v>4</x:v>
      </x:c>
      <x:c r="G10" s="26" t="n">
        <x:v>3</x:v>
      </x:c>
      <x:c r="H10" s="26" t="n">
        <x:v>1</x:v>
      </x:c>
      <x:c r="I10" s="26" t="n">
        <x:v>1</x:v>
      </x:c>
      <x:c r="J10" s="40" t="n">
        <x:f>F10*G10*(Lookups!$B$6-H10)/Lookups!$B$6+I10*Lookups!$B$7</x:f>
        <x:v>11.6</x:v>
      </x:c>
      <x:c r="K10" s="26" t="str">
        <x:f>IF(I10=1,"REVIEW UNKNOWN",IF(J10&gt;=Lookups!$B$8,"STOP / RED",IF(J10&gt;=Lookups!$B$9,"HIGH / HARDEN",IF(J10&gt;=Lookups!$B$10,"WATCH / MITIGATE","BOUNDED"))))</x:f>
        <x:v>REVIEW UNKNOWN</x:v>
      </x:c>
      <x:c r="L10" s="26" t="str"/>
    </x:row>
    <x:row r="11">
      <x:c r="A11" s="26" t="str">
        <x:v>LA-04</x:v>
      </x:c>
      <x:c r="B11" s="26" t="str">
        <x:v>Remote control path exists</x:v>
      </x:c>
      <x:c r="C11" s="26" t="str">
        <x:v>External control channel reaches instrumentation</x:v>
      </x:c>
      <x:c r="D11" s="26" t="str">
        <x:v>SUPPORTED</x:v>
      </x:c>
      <x:c r="E11" s="26" t="str">
        <x:v>Automated-lab security literature lineage</x:v>
      </x:c>
      <x:c r="F11" s="26" t="n">
        <x:v>4</x:v>
      </x:c>
      <x:c r="G11" s="26" t="n">
        <x:v>3</x:v>
      </x:c>
      <x:c r="H11" s="26" t="n">
        <x:v>2</x:v>
      </x:c>
      <x:c r="I11" s="26" t="n">
        <x:v>1</x:v>
      </x:c>
      <x:c r="J11" s="40" t="n">
        <x:f>F11*G11*(Lookups!$B$6-H11)/Lookups!$B$6+I11*Lookups!$B$7</x:f>
        <x:v>9.2</x:v>
      </x:c>
      <x:c r="K11" s="26" t="str">
        <x:f>IF(I11=1,"REVIEW UNKNOWN",IF(J11&gt;=Lookups!$B$8,"STOP / RED",IF(J11&gt;=Lookups!$B$9,"HIGH / HARDEN",IF(J11&gt;=Lookups!$B$10,"WATCH / MITIGATE","BOUNDED"))))</x:f>
        <x:v>REVIEW UNKNOWN</x:v>
      </x:c>
      <x:c r="L11" s="26" t="str"/>
    </x:row>
    <x:row r="12">
      <x:c r="A12" s="26" t="str">
        <x:v>LA-05</x:v>
      </x:c>
      <x:c r="B12" s="26" t="str">
        <x:v>Safety interlock is software-only</x:v>
      </x:c>
      <x:c r="C12" s="26" t="str">
        <x:v>Same compromised software can command and approve action</x:v>
      </x:c>
      <x:c r="D12" s="26" t="str">
        <x:v>SUPPORTED</x:v>
      </x:c>
      <x:c r="E12" s="26" t="str">
        <x:v>Perfect Storm Control-Plane Addendum</x:v>
      </x:c>
      <x:c r="F12" s="26" t="n">
        <x:v>4</x:v>
      </x:c>
      <x:c r="G12" s="26" t="n">
        <x:v>3</x:v>
      </x:c>
      <x:c r="H12" s="26" t="n">
        <x:v>0</x:v>
      </x:c>
      <x:c r="I12" s="26" t="n">
        <x:v>1</x:v>
      </x:c>
      <x:c r="J12" s="40" t="n">
        <x:f>F12*G12*(Lookups!$B$6-H12)/Lookups!$B$6+I12*Lookups!$B$7</x:f>
        <x:v>14</x:v>
      </x:c>
      <x:c r="K12" s="26" t="str">
        <x:f>IF(I12=1,"REVIEW UNKNOWN",IF(J12&gt;=Lookups!$B$8,"STOP / RED",IF(J12&gt;=Lookups!$B$9,"HIGH / HARDEN",IF(J12&gt;=Lookups!$B$10,"WATCH / MITIGATE","BOUNDED"))))</x:f>
        <x:v>REVIEW UNKNOWN</x:v>
      </x:c>
      <x:c r="L12" s="26" t="str"/>
    </x:row>
    <x:row r="13">
      <x:c r="A13" s="26" t="str">
        <x:v>LA-06</x:v>
      </x:c>
      <x:c r="B13" s="26" t="str">
        <x:v>Monitor and actuator share dependency</x:v>
      </x:c>
      <x:c r="C13" s="26" t="str">
        <x:v>One compromise affects both observation and action</x:v>
      </x:c>
      <x:c r="D13" s="26" t="str">
        <x:v>SUPPORTED</x:v>
      </x:c>
      <x:c r="E13" s="26" t="str">
        <x:v>Perfect Storm Control-Plane Addendum</x:v>
      </x:c>
      <x:c r="F13" s="26" t="n">
        <x:v>4</x:v>
      </x:c>
      <x:c r="G13" s="26" t="n">
        <x:v>3</x:v>
      </x:c>
      <x:c r="H13" s="26" t="n">
        <x:v>1</x:v>
      </x:c>
      <x:c r="I13" s="26" t="n">
        <x:v>1</x:v>
      </x:c>
      <x:c r="J13" s="40" t="n">
        <x:f>F13*G13*(Lookups!$B$6-H13)/Lookups!$B$6+I13*Lookups!$B$7</x:f>
        <x:v>11.6</x:v>
      </x:c>
      <x:c r="K13" s="26" t="str">
        <x:f>IF(I13=1,"REVIEW UNKNOWN",IF(J13&gt;=Lookups!$B$8,"STOP / RED",IF(J13&gt;=Lookups!$B$9,"HIGH / HARDEN",IF(J13&gt;=Lookups!$B$10,"WATCH / MITIGATE","BOUNDED"))))</x:f>
        <x:v>REVIEW UNKNOWN</x:v>
      </x:c>
      <x:c r="L13" s="26" t="str"/>
    </x:row>
  </x:sheetData>
  <x:mergeCells>
    <x:mergeCell ref="A1:L1"/>
    <x:mergeCell ref="A2:L2"/>
  </x:mergeCells>
  <x:conditionalFormatting sqref="J8:J13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3">
    <x:cfRule type="expression" dxfId="5" priority="2">
      <x:formula>K8="STOP / RED"</x:formula>
    </x:cfRule>
  </x:conditionalFormatting>
  <x:dataValidations count="3">
    <x:dataValidation type="list" sqref="D8:D13">
      <x:formula1>"DOCUMENTED,SUPPORTED,INFERENCE,PLAUSIBLE,UNKNOWN,CONTRADICTED"</x:formula1>
    </x:dataValidation>
    <x:dataValidation type="list" sqref="F8:H13">
      <x:formula1>"0,1,2,3,4"</x:formula1>
    </x:dataValidation>
    <x:dataValidation type="list" sqref="I8:I13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GOVERNANCE / RESPONSE —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Evaluate delay, disclosure, incident command, external notification, and whether technical containment can be overridden by organizational incentives.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MAX(J8:J12)</x:f>
        <x:v>11.6</x:v>
      </x:c>
      <x:c r="B5" s="34" t="n">
        <x:f>AVERAGE(J8:J12)</x:f>
        <x:v>9.28</x:v>
      </x:c>
      <x:c r="C5" s="34" t="n">
        <x:f>SUM(I8:I12)</x:f>
        <x:v>2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GR-01</x:v>
      </x:c>
      <x:c r="B8" s="26" t="str">
        <x:v>Incident notification delay</x:v>
      </x:c>
      <x:c r="C8" s="26" t="str">
        <x:v>Technical anomaly exists before external response is activated</x:v>
      </x:c>
      <x:c r="D8" s="26" t="str">
        <x:v>SUPPORTED</x:v>
      </x:c>
      <x:c r="E8" s="26" t="str">
        <x:v>Enhanced BSL Containment Architecture v2.0</x:v>
      </x:c>
      <x:c r="F8" s="26" t="n">
        <x:v>4</x:v>
      </x:c>
      <x:c r="G8" s="26" t="n">
        <x:v>3</x:v>
      </x:c>
      <x:c r="H8" s="26" t="n">
        <x:v>1</x:v>
      </x:c>
      <x:c r="I8" s="26" t="n">
        <x:v>0</x:v>
      </x:c>
      <x:c r="J8" s="40" t="n">
        <x:f>F8*G8*(Lookups!$B$6-H8)/Lookups!$B$6+I8*Lookups!$B$7</x:f>
        <x:v>9.6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GR-02</x:v>
      </x:c>
      <x:c r="B9" s="26" t="str">
        <x:v>PR/legal gate before containment</x:v>
      </x:c>
      <x:c r="C9" s="26" t="str">
        <x:v>Narrative or liability review delays technical action</x:v>
      </x:c>
      <x:c r="D9" s="26" t="str">
        <x:v>SUPPORTED</x:v>
      </x:c>
      <x:c r="E9" s="26" t="str">
        <x:v>Human Dumbassery framing</x:v>
      </x:c>
      <x:c r="F9" s="26" t="n">
        <x:v>4</x:v>
      </x:c>
      <x:c r="G9" s="26" t="n">
        <x:v>2</x:v>
      </x:c>
      <x:c r="H9" s="26" t="n">
        <x:v>1</x:v>
      </x:c>
      <x:c r="I9" s="26" t="n">
        <x:v>1</x:v>
      </x:c>
      <x:c r="J9" s="40" t="n">
        <x:f>F9*G9*(Lookups!$B$6-H9)/Lookups!$B$6+I9*Lookups!$B$7</x:f>
        <x:v>8.4</x:v>
      </x:c>
      <x:c r="K9" s="26" t="str">
        <x:f>IF(I9=1,"REVIEW UNKNOWN",IF(J9&gt;=Lookups!$B$8,"STOP / RED",IF(J9&gt;=Lookups!$B$9,"HIGH / HARDEN",IF(J9&gt;=Lookups!$B$10,"WATCH / MITIGATE","BOUNDED"))))</x:f>
        <x:v>REVIEW UNKNOWN</x:v>
      </x:c>
      <x:c r="L9" s="26" t="str"/>
    </x:row>
    <x:row r="10">
      <x:c r="A10" s="26" t="str">
        <x:v>GR-03</x:v>
      </x:c>
      <x:c r="B10" s="26" t="str">
        <x:v>No external immutable record</x:v>
      </x:c>
      <x:c r="C10" s="26" t="str">
        <x:v>Organization can revise the incident story after the fact</x:v>
      </x:c>
      <x:c r="D10" s="26" t="str">
        <x:v>SUPPORTED</x:v>
      </x:c>
      <x:c r="E10" s="26" t="str">
        <x:v>Enhanced BSL Containment Architecture v2.0</x:v>
      </x:c>
      <x:c r="F10" s="26" t="n">
        <x:v>3</x:v>
      </x:c>
      <x:c r="G10" s="26" t="n">
        <x:v>3</x:v>
      </x:c>
      <x:c r="H10" s="26" t="n">
        <x:v>1</x:v>
      </x:c>
      <x:c r="I10" s="26" t="n">
        <x:v>0</x:v>
      </x:c>
      <x:c r="J10" s="40" t="n">
        <x:f>F10*G10*(Lookups!$B$6-H10)/Lookups!$B$6+I10*Lookups!$B$7</x:f>
        <x:v>7.2</x:v>
      </x:c>
      <x:c r="K10" s="26" t="str">
        <x:f>IF(I10=1,"REVIEW UNKNOWN",IF(J10&gt;=Lookups!$B$8,"STOP / RED",IF(J10&gt;=Lookups!$B$9,"HIGH / HARDEN",IF(J10&gt;=Lookups!$B$10,"WATCH / MITIGATE","BOUNDED"))))</x:f>
        <x:v>HIGH / HARDEN</x:v>
      </x:c>
      <x:c r="L10" s="26" t="str"/>
    </x:row>
    <x:row r="11">
      <x:c r="A11" s="26" t="str">
        <x:v>GR-04</x:v>
      </x:c>
      <x:c r="B11" s="26" t="str">
        <x:v>No independent stop authority</x:v>
      </x:c>
      <x:c r="C11" s="26" t="str">
        <x:v>All stop decisions remain inside the affected organization</x:v>
      </x:c>
      <x:c r="D11" s="26" t="str">
        <x:v>SUPPORTED</x:v>
      </x:c>
      <x:c r="E11" s="26" t="str">
        <x:v>Perfect Storm Control-Plane Addendum</x:v>
      </x:c>
      <x:c r="F11" s="26" t="n">
        <x:v>4</x:v>
      </x:c>
      <x:c r="G11" s="26" t="n">
        <x:v>3</x:v>
      </x:c>
      <x:c r="H11" s="26" t="n">
        <x:v>1</x:v>
      </x:c>
      <x:c r="I11" s="26" t="n">
        <x:v>1</x:v>
      </x:c>
      <x:c r="J11" s="40" t="n">
        <x:f>F11*G11*(Lookups!$B$6-H11)/Lookups!$B$6+I11*Lookups!$B$7</x:f>
        <x:v>11.6</x:v>
      </x:c>
      <x:c r="K11" s="26" t="str">
        <x:f>IF(I11=1,"REVIEW UNKNOWN",IF(J11&gt;=Lookups!$B$8,"STOP / RED",IF(J11&gt;=Lookups!$B$9,"HIGH / HARDEN",IF(J11&gt;=Lookups!$B$10,"WATCH / MITIGATE","BOUNDED"))))</x:f>
        <x:v>REVIEW UNKNOWN</x:v>
      </x:c>
      <x:c r="L11" s="26" t="str"/>
    </x:row>
    <x:row r="12">
      <x:c r="A12" s="26" t="str">
        <x:v>GR-05</x:v>
      </x:c>
      <x:c r="B12" s="26" t="str">
        <x:v>Unknown treated as low risk</x:v>
      </x:c>
      <x:c r="C12" s="26" t="str">
        <x:v>Unresolved evidence is operationally converted to zero</x:v>
      </x:c>
      <x:c r="D12" s="26" t="str">
        <x:v>SUPPORTED</x:v>
      </x:c>
      <x:c r="E12" s="26" t="str">
        <x:v>No-downgrade-for-uncertainty principle</x:v>
      </x:c>
      <x:c r="F12" s="26" t="n">
        <x:v>4</x:v>
      </x:c>
      <x:c r="G12" s="26" t="n">
        <x:v>3</x:v>
      </x:c>
      <x:c r="H12" s="26" t="n">
        <x:v>1</x:v>
      </x:c>
      <x:c r="I12" s="26" t="n">
        <x:v>0</x:v>
      </x:c>
      <x:c r="J12" s="40" t="n">
        <x:f>F12*G12*(Lookups!$B$6-H12)/Lookups!$B$6+I12*Lookups!$B$7</x:f>
        <x:v>9.6</x:v>
      </x:c>
      <x:c r="K12" s="26" t="str">
        <x:f>IF(I12=1,"REVIEW UNKNOWN",IF(J12&gt;=Lookups!$B$8,"STOP / RED",IF(J12&gt;=Lookups!$B$9,"HIGH / HARDEN",IF(J12&gt;=Lookups!$B$10,"WATCH / MITIGATE","BOUNDED"))))</x:f>
        <x:v>HIGH / HARDEN</x:v>
      </x:c>
      <x:c r="L12" s="26" t="str"/>
    </x:row>
  </x:sheetData>
  <x:mergeCells>
    <x:mergeCell ref="A1:L1"/>
    <x:mergeCell ref="A2:L2"/>
  </x:mergeCells>
  <x:conditionalFormatting sqref="J8:J12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2">
    <x:cfRule type="expression" dxfId="6" priority="2">
      <x:formula>K8="STOP / RED"</x:formula>
    </x:cfRule>
  </x:conditionalFormatting>
  <x:dataValidations count="3">
    <x:dataValidation type="list" sqref="D8:D12">
      <x:formula1>"DOCUMENTED,SUPPORTED,INFERENCE,PLAUSIBLE,UNKNOWN,CONTRADICTED"</x:formula1>
    </x:dataValidation>
    <x:dataValidation type="list" sqref="F8:H12">
      <x:formula1>"0,1,2,3,4"</x:formula1>
    </x:dataValidation>
    <x:dataValidation type="list" sqref="I8:I12">
      <x:formula1>"0,1"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4" hidden="0" customWidth="1"/>
    <x:col min="11" max="11" width="20" hidden="0" customWidth="1"/>
    <x:col min="12" max="12" width="24" hidden="0" customWidth="1"/>
  </x:cols>
  <x:sheetData>
    <x:row r="1" ht="28" customHeight="1">
      <x:c r="A1" s="4" t="str">
        <x:v>PHYSICAL CONTAINMENT — PROPOSED ESCALATION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0" t="str">
        <x:v>Source-derived proposed architecture. BSL-5/6/7 here are conceptual proposal tiers, not established official biosafety levels.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7" t="str">
        <x:v>Max residual</x:v>
      </x:c>
      <x:c r="B4" s="17" t="str">
        <x:v>Average residual</x:v>
      </x:c>
      <x:c r="C4" s="17" t="str">
        <x:v>Unknown count</x:v>
      </x:c>
      <x:c r="D4" s="17" t="str">
        <x:v>Domain disposition</x:v>
      </x:c>
    </x:row>
    <x:row r="5">
      <x:c r="A5" s="34" t="n">
        <x:f>MAX(J8:J12)</x:f>
        <x:v>11.6</x:v>
      </x:c>
      <x:c r="B5" s="34" t="n">
        <x:f>AVERAGE(J8:J12)</x:f>
        <x:v>7.919999999999999</x:v>
      </x:c>
      <x:c r="C5" s="34" t="n">
        <x:f>SUM(I8:I12)</x:f>
        <x:v>3</x:v>
      </x:c>
      <x:c r="D5" s="34" t="str">
        <x:f>IF(C5&gt;0,"REVIEW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ID</x:v>
      </x:c>
      <x:c r="B7" s="18" t="str">
        <x:v>Failure mode</x:v>
      </x:c>
      <x:c r="C7" s="18" t="str">
        <x:v>Mechanism / condition</x:v>
      </x:c>
      <x:c r="D7" s="18" t="str">
        <x:v>Evidence class</x:v>
      </x:c>
      <x:c r="E7" s="18" t="str">
        <x:v>Source / lineage</x:v>
      </x:c>
      <x:c r="F7" s="18" t="str">
        <x:v>Severity 0–4</x:v>
      </x:c>
      <x:c r="G7" s="18" t="str">
        <x:v>Exposure 0–4</x:v>
      </x:c>
      <x:c r="H7" s="18" t="str">
        <x:v>Control effectiveness 0–4</x:v>
      </x:c>
      <x:c r="I7" s="18" t="str">
        <x:v>Unknown 0/1</x:v>
      </x:c>
      <x:c r="J7" s="18" t="str">
        <x:v>Residual score</x:v>
      </x:c>
      <x:c r="K7" s="18" t="str">
        <x:v>Decision / gate</x:v>
      </x:c>
      <x:c r="L7" s="18" t="str">
        <x:v>Notes</x:v>
      </x:c>
    </x:row>
    <x:row r="8">
      <x:c r="A8" s="26" t="str">
        <x:v>BP-01</x:v>
      </x:c>
      <x:c r="B8" s="26" t="str">
        <x:v>Human presence remains inside high-consequence process</x:v>
      </x:c>
      <x:c r="C8" s="26" t="str">
        <x:v>Routine human access creates procedural escape path</x:v>
      </x:c>
      <x:c r="D8" s="26" t="str">
        <x:v>SUPPORTED</x:v>
      </x:c>
      <x:c r="E8" s="26" t="str">
        <x:v>Enhanced BSL Containment Architecture v2.0</x:v>
      </x:c>
      <x:c r="F8" s="26" t="n">
        <x:v>4</x:v>
      </x:c>
      <x:c r="G8" s="26" t="n">
        <x:v>3</x:v>
      </x:c>
      <x:c r="H8" s="26" t="n">
        <x:v>2</x:v>
      </x:c>
      <x:c r="I8" s="26" t="n">
        <x:v>0</x:v>
      </x:c>
      <x:c r="J8" s="40" t="n">
        <x:f>F8*G8*(Lookups!$B$6-H8)/Lookups!$B$6+I8*Lookups!$B$7</x:f>
        <x:v>7.2</x:v>
      </x:c>
      <x:c r="K8" s="26" t="str">
        <x:f>IF(I8=1,"REVIEW UNKNOWN",IF(J8&gt;=Lookups!$B$8,"STOP / RED",IF(J8&gt;=Lookups!$B$9,"HIGH / HARDEN",IF(J8&gt;=Lookups!$B$10,"WATCH / MITIGATE","BOUNDED"))))</x:f>
        <x:v>HIGH / HARDEN</x:v>
      </x:c>
      <x:c r="L8" s="26" t="str"/>
    </x:row>
    <x:row r="9">
      <x:c r="A9" s="26" t="str">
        <x:v>BP-02</x:v>
      </x:c>
      <x:c r="B9" s="26" t="str">
        <x:v>Critical material transfer requires routine manual handling</x:v>
      </x:c>
      <x:c r="C9" s="26" t="str">
        <x:v>Human handling remains a containment dependency</x:v>
      </x:c>
      <x:c r="D9" s="26" t="str">
        <x:v>SUPPORTED</x:v>
      </x:c>
      <x:c r="E9" s="26" t="str">
        <x:v>Enhanced BSL Containment Architecture v2.0</x:v>
      </x:c>
      <x:c r="F9" s="26" t="n">
        <x:v>4</x:v>
      </x:c>
      <x:c r="G9" s="26" t="n">
        <x:v>3</x:v>
      </x:c>
      <x:c r="H9" s="26" t="n">
        <x:v>2</x:v>
      </x:c>
      <x:c r="I9" s="26" t="n">
        <x:v>0</x:v>
      </x:c>
      <x:c r="J9" s="40" t="n">
        <x:f>F9*G9*(Lookups!$B$6-H9)/Lookups!$B$6+I9*Lookups!$B$7</x:f>
        <x:v>7.2</x:v>
      </x:c>
      <x:c r="K9" s="26" t="str">
        <x:f>IF(I9=1,"REVIEW UNKNOWN",IF(J9&gt;=Lookups!$B$8,"STOP / RED",IF(J9&gt;=Lookups!$B$9,"HIGH / HARDEN",IF(J9&gt;=Lookups!$B$10,"WATCH / MITIGATE","BOUNDED"))))</x:f>
        <x:v>HIGH / HARDEN</x:v>
      </x:c>
      <x:c r="L9" s="26" t="str"/>
    </x:row>
    <x:row r="10">
      <x:c r="A10" s="26" t="str">
        <x:v>BP-03</x:v>
      </x:c>
      <x:c r="B10" s="26" t="str">
        <x:v>Containment depends on a single facility boundary</x:v>
      </x:c>
      <x:c r="C10" s="26" t="str">
        <x:v>One physical site has no independent outer recovery layer</x:v>
      </x:c>
      <x:c r="D10" s="26" t="str">
        <x:v>PLAUSIBLE</x:v>
      </x:c>
      <x:c r="E10" s="26" t="str">
        <x:v>Enhanced BSL Containment Architecture v2.0</x:v>
      </x:c>
      <x:c r="F10" s="26" t="n">
        <x:v>4</x:v>
      </x:c>
      <x:c r="G10" s="26" t="n">
        <x:v>2</x:v>
      </x:c>
      <x:c r="H10" s="26" t="n">
        <x:v>2</x:v>
      </x:c>
      <x:c r="I10" s="26" t="n">
        <x:v>1</x:v>
      </x:c>
      <x:c r="J10" s="40" t="n">
        <x:f>F10*G10*(Lookups!$B$6-H10)/Lookups!$B$6+I10*Lookups!$B$7</x:f>
        <x:v>6.8</x:v>
      </x:c>
      <x:c r="K10" s="26" t="str">
        <x:f>IF(I10=1,"REVIEW UNKNOWN",IF(J10&gt;=Lookups!$B$8,"STOP / RED",IF(J10&gt;=Lookups!$B$9,"HIGH / HARDEN",IF(J10&gt;=Lookups!$B$10,"WATCH / MITIGATE","BOUNDED"))))</x:f>
        <x:v>REVIEW UNKNOWN</x:v>
      </x:c>
      <x:c r="L10" s="26" t="str"/>
    </x:row>
    <x:row r="11">
      <x:c r="A11" s="26" t="str">
        <x:v>BP-04</x:v>
      </x:c>
      <x:c r="B11" s="26" t="str">
        <x:v>Digital control can defeat physical containment</x:v>
      </x:c>
      <x:c r="C11" s="26" t="str">
        <x:v>Cyber authority reaches containment-critical functions</x:v>
      </x:c>
      <x:c r="D11" s="26" t="str">
        <x:v>SUPPORTED</x:v>
      </x:c>
      <x:c r="E11" s="26" t="str">
        <x:v>Perfect Storm Control-Plane Addendum</x:v>
      </x:c>
      <x:c r="F11" s="26" t="n">
        <x:v>4</x:v>
      </x:c>
      <x:c r="G11" s="26" t="n">
        <x:v>3</x:v>
      </x:c>
      <x:c r="H11" s="26" t="n">
        <x:v>1</x:v>
      </x:c>
      <x:c r="I11" s="26" t="n">
        <x:v>1</x:v>
      </x:c>
      <x:c r="J11" s="40" t="n">
        <x:f>F11*G11*(Lookups!$B$6-H11)/Lookups!$B$6+I11*Lookups!$B$7</x:f>
        <x:v>11.6</x:v>
      </x:c>
      <x:c r="K11" s="26" t="str">
        <x:f>IF(I11=1,"REVIEW UNKNOWN",IF(J11&gt;=Lookups!$B$8,"STOP / RED",IF(J11&gt;=Lookups!$B$9,"HIGH / HARDEN",IF(J11&gt;=Lookups!$B$10,"WATCH / MITIGATE","BOUNDED"))))</x:f>
        <x:v>REVIEW UNKNOWN</x:v>
      </x:c>
      <x:c r="L11" s="26" t="str"/>
    </x:row>
    <x:row r="12">
      <x:c r="A12" s="26" t="str">
        <x:v>BP-05</x:v>
      </x:c>
      <x:c r="B12" s="26" t="str">
        <x:v>Routine entry required after anomaly</x:v>
      </x:c>
      <x:c r="C12" s="26" t="str">
        <x:v>Humans must enter a potentially unstable environment to recover it</x:v>
      </x:c>
      <x:c r="D12" s="26" t="str">
        <x:v>SUPPORTED</x:v>
      </x:c>
      <x:c r="E12" s="26" t="str">
        <x:v>Enhanced BSL Containment Architecture v2.0</x:v>
      </x:c>
      <x:c r="F12" s="26" t="n">
        <x:v>4</x:v>
      </x:c>
      <x:c r="G12" s="26" t="n">
        <x:v>2</x:v>
      </x:c>
      <x:c r="H12" s="26" t="n">
        <x:v>2</x:v>
      </x:c>
      <x:c r="I12" s="26" t="n">
        <x:v>1</x:v>
      </x:c>
      <x:c r="J12" s="40" t="n">
        <x:f>F12*G12*(Lookups!$B$6-H12)/Lookups!$B$6+I12*Lookups!$B$7</x:f>
        <x:v>6.8</x:v>
      </x:c>
      <x:c r="K12" s="26" t="str">
        <x:f>IF(I12=1,"REVIEW UNKNOWN",IF(J12&gt;=Lookups!$B$8,"STOP / RED",IF(J12&gt;=Lookups!$B$9,"HIGH / HARDEN",IF(J12&gt;=Lookups!$B$10,"WATCH / MITIGATE","BOUNDED"))))</x:f>
        <x:v>REVIEW UNKNOWN</x:v>
      </x:c>
      <x:c r="L12" s="26" t="str"/>
    </x:row>
  </x:sheetData>
  <x:mergeCells>
    <x:mergeCell ref="A1:L1"/>
    <x:mergeCell ref="A2:L2"/>
  </x:mergeCells>
  <x:conditionalFormatting sqref="J8:J12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conditionalFormatting sqref="K8:K12">
    <x:cfRule type="expression" dxfId="7" priority="2">
      <x:formula>K8="STOP / RED"</x:formula>
    </x:cfRule>
  </x:conditionalFormatting>
  <x:dataValidations count="3">
    <x:dataValidation type="list" sqref="D8:D12">
      <x:formula1>"DOCUMENTED,SUPPORTED,INFERENCE,PLAUSIBLE,UNKNOWN,CONTRADICTED"</x:formula1>
    </x:dataValidation>
    <x:dataValidation type="list" sqref="F8:H12">
      <x:formula1>"0,1,2,3,4"</x:formula1>
    </x:dataValidation>
    <x:dataValidation type="list" sqref="I8:I12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30" hidden="0" customWidth="1"/>
    <x:col min="8" max="8" width="38" hidden="0" customWidth="1"/>
    <x:col min="9" max="9" width="12" hidden="0" customWidth="1"/>
    <x:col min="10" max="10" width="24" hidden="0" customWidth="1"/>
  </x:cols>
  <x:sheetData>
    <x:row r="1" ht="28" customHeight="1">
      <x:c r="A1" s="4" t="str">
        <x:v>CONTROL-PLANE EXPOSURE (CPX) — ORTHOGONAL DIGITAL TIER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0" t="str">
        <x:v>CPX is independent of physical containment. CPX-4 is the red-line state for high-consequence work in this model.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7" t="str">
        <x:v>Derived CPX</x:v>
      </x:c>
      <x:c r="B4" s="17" t="str">
        <x:v>Unknown count</x:v>
      </x:c>
      <x:c r="C4" s="17" t="str">
        <x:v>Red-line present</x:v>
      </x:c>
      <x:c r="D4" s="17" t="str">
        <x:v>Disposition</x:v>
      </x:c>
    </x:row>
    <x:row r="5">
      <x:c r="A5" s="34" t="n">
        <x:f>MAX(IF(C8=1,E8,0),IF(C9=1,E9,0),IF(C10=1,E10,0),IF(C11=1,E11,0),IF(C12=1,E12,0),IF(C13=1,E13,0),IF(C14=1,E14,0))</x:f>
        <x:v>3</x:v>
      </x:c>
      <x:c r="B5" s="34" t="n">
        <x:f>SUM(D8:D14)</x:f>
        <x:v>2</x:v>
      </x:c>
      <x:c r="C5" s="34" t="n">
        <x:f>MAX(I8:I14*C8:C14)</x:f>
        <x:v>0</x:v>
      </x:c>
      <x:c r="D5" s="34" t="str">
        <x:f>IF(B5&gt;0,"REVIEW UNKNOWN",IF(C5=1,"RED LINE — DO NOT PROCEED",IF(A5&gt;=3,"HIGH CONTROL / REVIEW","BOUNDED")))</x:f>
        <x:v>REVIEW UNKNOWN</x:v>
      </x:c>
    </x:row>
    <x:row r="7">
      <x:c r="A7" s="18" t="str">
        <x:v>ID</x:v>
      </x:c>
      <x:c r="B7" s="18" t="str">
        <x:v>Condition / capability</x:v>
      </x:c>
      <x:c r="C7" s="18" t="str">
        <x:v>Present 0/1</x:v>
      </x:c>
      <x:c r="D7" s="18" t="str">
        <x:v>Unknown 0/1</x:v>
      </x:c>
      <x:c r="E7" s="18" t="str">
        <x:v>Minimum CPX if present</x:v>
      </x:c>
      <x:c r="F7" s="18" t="str">
        <x:v>Evidence class</x:v>
      </x:c>
      <x:c r="G7" s="18" t="str">
        <x:v>Source / lineage</x:v>
      </x:c>
      <x:c r="H7" s="18" t="str">
        <x:v>Required control</x:v>
      </x:c>
      <x:c r="I7" s="18" t="str">
        <x:v>Red-line? 0/1</x:v>
      </x:c>
      <x:c r="J7" s="18" t="str">
        <x:v>Notes</x:v>
      </x:c>
    </x:row>
    <x:row r="8">
      <x:c r="A8" s="26" t="str">
        <x:v>CPX-A</x:v>
      </x:c>
      <x:c r="B8" s="26" t="str">
        <x:v>Authenticated local digital control</x:v>
      </x:c>
      <x:c r="C8" s="26" t="n">
        <x:v>1</x:v>
      </x:c>
      <x:c r="D8" s="26" t="n">
        <x:v>0</x:v>
      </x:c>
      <x:c r="E8" s="26" t="n">
        <x:v>1</x:v>
      </x:c>
      <x:c r="F8" s="26" t="str">
        <x:v>SUPPORTED</x:v>
      </x:c>
      <x:c r="G8" s="26" t="str">
        <x:v>Perfect Storm Control-Plane Addendum</x:v>
      </x:c>
      <x:c r="H8" s="26" t="str">
        <x:v>Strong authentication and signed state</x:v>
      </x:c>
      <x:c r="I8" s="26" t="n">
        <x:v>0</x:v>
      </x:c>
      <x:c r="J8" s="26" t="str"/>
    </x:row>
    <x:row r="9">
      <x:c r="A9" s="26" t="str">
        <x:v>CPX-B</x:v>
      </x:c>
      <x:c r="B9" s="26" t="str">
        <x:v>Network segmentation between control domains</x:v>
      </x:c>
      <x:c r="C9" s="26" t="n">
        <x:v>1</x:v>
      </x:c>
      <x:c r="D9" s="26" t="n">
        <x:v>0</x:v>
      </x:c>
      <x:c r="E9" s="26" t="n">
        <x:v>2</x:v>
      </x:c>
      <x:c r="F9" s="26" t="str">
        <x:v>SUPPORTED</x:v>
      </x:c>
      <x:c r="G9" s="26" t="str">
        <x:v>Perfect Storm Control-Plane Addendum</x:v>
      </x:c>
      <x:c r="H9" s="26" t="str">
        <x:v>Independent segmentation and management plane</x:v>
      </x:c>
      <x:c r="I9" s="26" t="n">
        <x:v>0</x:v>
      </x:c>
      <x:c r="J9" s="26" t="str"/>
    </x:row>
    <x:row r="10">
      <x:c r="A10" s="26" t="str">
        <x:v>CPX-C</x:v>
      </x:c>
      <x:c r="B10" s="26" t="str">
        <x:v>Independent physical / safety interlocks</x:v>
      </x:c>
      <x:c r="C10" s="26" t="n">
        <x:v>1</x:v>
      </x:c>
      <x:c r="D10" s="26" t="n">
        <x:v>0</x:v>
      </x:c>
      <x:c r="E10" s="26" t="n">
        <x:v>2</x:v>
      </x:c>
      <x:c r="F10" s="26" t="str">
        <x:v>SUPPORTED</x:v>
      </x:c>
      <x:c r="G10" s="26" t="str">
        <x:v>Perfect Storm Control-Plane Addendum</x:v>
      </x:c>
      <x:c r="H10" s="26" t="str">
        <x:v>Deterministic interlocks outside AI/application authority</x:v>
      </x:c>
      <x:c r="I10" s="26" t="n">
        <x:v>0</x:v>
      </x:c>
      <x:c r="J10" s="26" t="str"/>
    </x:row>
    <x:row r="11">
      <x:c r="A11" s="26" t="str">
        <x:v>CPX-D</x:v>
      </x:c>
      <x:c r="B11" s="26" t="str">
        <x:v>AI proposes or orchestrates workflows</x:v>
      </x:c>
      <x:c r="C11" s="26" t="n">
        <x:v>1</x:v>
      </x:c>
      <x:c r="D11" s="26" t="n">
        <x:v>0</x:v>
      </x:c>
      <x:c r="E11" s="26" t="n">
        <x:v>3</x:v>
      </x:c>
      <x:c r="F11" s="26" t="str">
        <x:v>DOCUMENTED</x:v>
      </x:c>
      <x:c r="G11" s="26" t="str">
        <x:v>2026 model-hardware lineage</x:v>
      </x:c>
      <x:c r="H11" s="26" t="str">
        <x:v>Command allow-list + independent authorization</x:v>
      </x:c>
      <x:c r="I11" s="26" t="n">
        <x:v>0</x:v>
      </x:c>
      <x:c r="J11" s="26" t="str"/>
    </x:row>
    <x:row r="12">
      <x:c r="A12" s="26" t="str">
        <x:v>CPX-E</x:v>
      </x:c>
      <x:c r="B12" s="26" t="str">
        <x:v>AI has autonomous write authority</x:v>
      </x:c>
      <x:c r="C12" s="26" t="n">
        <x:v>0</x:v>
      </x:c>
      <x:c r="D12" s="26" t="n">
        <x:v>1</x:v>
      </x:c>
      <x:c r="E12" s="26" t="n">
        <x:v>4</x:v>
      </x:c>
      <x:c r="F12" s="26" t="str">
        <x:v>PLAUSIBLE</x:v>
      </x:c>
      <x:c r="G12" s="26" t="str">
        <x:v>Perfect Storm Control-Plane Addendum</x:v>
      </x:c>
      <x:c r="H12" s="26" t="str">
        <x:v>Remove unilateral model authority</x:v>
      </x:c>
      <x:c r="I12" s="26" t="n">
        <x:v>1</x:v>
      </x:c>
      <x:c r="J12" s="26" t="str"/>
    </x:row>
    <x:row r="13">
      <x:c r="A13" s="26" t="str">
        <x:v>CPX-F</x:v>
      </x:c>
      <x:c r="B13" s="26" t="str">
        <x:v>Internet or package-registry access from high-consequence control</x:v>
      </x:c>
      <x:c r="C13" s="26" t="n">
        <x:v>0</x:v>
      </x:c>
      <x:c r="D13" s="26" t="n">
        <x:v>0</x:v>
      </x:c>
      <x:c r="E13" s="26" t="n">
        <x:v>4</x:v>
      </x:c>
      <x:c r="F13" s="26" t="str">
        <x:v>SUPPORTED</x:v>
      </x:c>
      <x:c r="G13" s="26" t="str">
        <x:v>Perfect Storm + 2026 incident lineage</x:v>
      </x:c>
      <x:c r="H13" s="26" t="str">
        <x:v>Hardware-enforced no-route / offline allow-list</x:v>
      </x:c>
      <x:c r="I13" s="26" t="n">
        <x:v>1</x:v>
      </x:c>
      <x:c r="J13" s="26" t="str"/>
    </x:row>
    <x:row r="14">
      <x:c r="A14" s="26" t="str">
        <x:v>CPX-G</x:v>
      </x:c>
      <x:c r="B14" s="26" t="str">
        <x:v>Shared trust path with external infrastructure</x:v>
      </x:c>
      <x:c r="C14" s="26" t="n">
        <x:v>0</x:v>
      </x:c>
      <x:c r="D14" s="26" t="n">
        <x:v>1</x:v>
      </x:c>
      <x:c r="E14" s="26" t="n">
        <x:v>4</x:v>
      </x:c>
      <x:c r="F14" s="26" t="str">
        <x:v>PLAUSIBLE</x:v>
      </x:c>
      <x:c r="G14" s="26" t="str">
        <x:v>Perfect Storm Control-Plane Addendum</x:v>
      </x:c>
      <x:c r="H14" s="26" t="str">
        <x:v>Separate identity/storage/secrets/control planes</x:v>
      </x:c>
      <x:c r="I14" s="26" t="n">
        <x:v>1</x:v>
      </x:c>
      <x:c r="J14" s="26" t="str"/>
    </x:row>
  </x:sheetData>
  <x:mergeCells>
    <x:mergeCell ref="A1:J1"/>
    <x:mergeCell ref="A2:J2"/>
  </x:mergeCells>
  <x:dataValidations count="2">
    <x:dataValidation type="list" sqref="C8:D14">
      <x:formula1>"0,1"</x:formula1>
    </x:dataValidation>
    <x:dataValidation type="list" sqref="F8:F14">
      <x:formula1>"DOCUMENTED,SUPPORTED,INFERENCE,PLAUSIBLE,UNKNOWN,CONTRADICTED"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12" hidden="0" customWidth="1"/>
    <x:col min="5" max="5" width="24" hidden="0" customWidth="1"/>
    <x:col min="6" max="6" width="22" hidden="0" customWidth="1"/>
  </x:cols>
  <x:sheetData>
    <x:row r="1" ht="28" customHeight="1">
      <x:c r="A1" s="4" t="str">
        <x:v>PERFECT STORM — FEDERATED THREAT-MODEL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0" t="str">
        <x:v>Each hazard family remains independent. This sheet only summarizes and cross-links their decision states.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7" t="str">
        <x:v>Highest domain risk</x:v>
      </x:c>
      <x:c r="B4" s="17" t="str">
        <x:v>Total unknowns</x:v>
      </x:c>
      <x:c r="C4" s="17" t="str">
        <x:v>Highest compound path</x:v>
      </x:c>
      <x:c r="D4" s="17" t="str">
        <x:v>Overall gate</x:v>
      </x:c>
    </x:row>
    <x:row r="5">
      <x:c r="A5" s="46" t="n">
        <x:f>MAX(B8:B16)</x:f>
        <x:v>14</x:v>
      </x:c>
      <x:c r="B5" s="34" t="n">
        <x:f>SUM(D8:D16)</x:f>
        <x:v>25</x:v>
      </x:c>
      <x:c r="C5" s="46" t="n">
        <x:f>Cross_Reference!A5</x:f>
        <x:v>21.200000000000003</x:v>
      </x:c>
      <x:c r="D5" s="34" t="str">
        <x:f>IF(B5&gt;0,"REVIEW UNKNOWN",IF(MAX(A5,C5)&gt;=Lookups!$B$8,"STOP / RED",IF(MAX(A5,C5)&gt;=Lookups!$B$9,"HIGH / HARDEN",IF(MAX(A5,C5)&gt;=Lookups!$B$10,"WATCH / MITIGATE","BOUNDED"))))</x:f>
        <x:v>REVIEW UNKNOWN</x:v>
      </x:c>
    </x:row>
    <x:row r="7">
      <x:c r="A7" s="18" t="str">
        <x:v>Domain</x:v>
      </x:c>
      <x:c r="B7" s="18" t="str">
        <x:v>Max residual</x:v>
      </x:c>
      <x:c r="C7" s="18" t="str">
        <x:v>Average residual</x:v>
      </x:c>
      <x:c r="D7" s="18" t="str">
        <x:v>Unknowns</x:v>
      </x:c>
      <x:c r="E7" s="18" t="str">
        <x:v>Disposition</x:v>
      </x:c>
      <x:c r="F7" s="18" t="str">
        <x:v>Primary sheet</x:v>
      </x:c>
    </x:row>
    <x:row r="8">
      <x:c r="A8" s="26" t="str">
        <x:v>Human_Dumbassery</x:v>
      </x:c>
      <x:c r="B8" s="40" t="n">
        <x:f>'Human_Dumbassery'!A5</x:f>
        <x:v>9.6</x:v>
      </x:c>
      <x:c r="C8" s="40" t="n">
        <x:f>'Human_Dumbassery'!B5</x:f>
        <x:v>6.05</x:v>
      </x:c>
      <x:c r="D8" s="26" t="n">
        <x:f>'Human_Dumbassery'!C5</x:f>
        <x:v>0</x:v>
      </x:c>
      <x:c r="E8" s="26" t="str">
        <x:f>'Human_Dumbassery'!D5</x:f>
        <x:v>HIGH / HARDEN</x:v>
      </x:c>
      <x:c r="F8" s="26" t="str">
        <x:v>Human_Dumbassery</x:v>
      </x:c>
    </x:row>
    <x:row r="9">
      <x:c r="A9" s="26" t="str">
        <x:v>Machine_Agency</x:v>
      </x:c>
      <x:c r="B9" s="40" t="n">
        <x:f>'Machine_Agency'!A5</x:f>
        <x:v>11.6</x:v>
      </x:c>
      <x:c r="C9" s="40" t="n">
        <x:f>'Machine_Agency'!B5</x:f>
        <x:v>9.5</x:v>
      </x:c>
      <x:c r="D9" s="26" t="n">
        <x:f>'Machine_Agency'!C5</x:f>
        <x:v>2</x:v>
      </x:c>
      <x:c r="E9" s="26" t="str">
        <x:f>'Machine_Agency'!D5</x:f>
        <x:v>REVIEW UNKNOWN</x:v>
      </x:c>
      <x:c r="F9" s="26" t="str">
        <x:v>Machine_Agency</x:v>
      </x:c>
    </x:row>
    <x:row r="10">
      <x:c r="A10" s="26" t="str">
        <x:v>Cyber_Containment</x:v>
      </x:c>
      <x:c r="B10" s="40" t="n">
        <x:f>'Cyber_Containment'!A5</x:f>
        <x:v>11.6</x:v>
      </x:c>
      <x:c r="C10" s="40" t="n">
        <x:f>'Cyber_Containment'!B5</x:f>
        <x:v>10.533333333333333</x:v>
      </x:c>
      <x:c r="D10" s="26" t="n">
        <x:f>'Cyber_Containment'!C5</x:f>
        <x:v>4</x:v>
      </x:c>
      <x:c r="E10" s="26" t="str">
        <x:f>'Cyber_Containment'!D5</x:f>
        <x:v>REVIEW UNKNOWN</x:v>
      </x:c>
      <x:c r="F10" s="26" t="str">
        <x:v>Cyber_Containment</x:v>
      </x:c>
    </x:row>
    <x:row r="11">
      <x:c r="A11" s="26" t="str">
        <x:v>Supply_Chain</x:v>
      </x:c>
      <x:c r="B11" s="40" t="n">
        <x:f>'Supply_Chain'!A5</x:f>
        <x:v>11.6</x:v>
      </x:c>
      <x:c r="C11" s="40" t="n">
        <x:f>'Supply_Chain'!B5</x:f>
        <x:v>9.8</x:v>
      </x:c>
      <x:c r="D11" s="26" t="n">
        <x:f>'Supply_Chain'!C5</x:f>
        <x:v>3</x:v>
      </x:c>
      <x:c r="E11" s="26" t="str">
        <x:f>'Supply_Chain'!D5</x:f>
        <x:v>REVIEW UNKNOWN</x:v>
      </x:c>
      <x:c r="F11" s="26" t="str">
        <x:v>Supply_Chain</x:v>
      </x:c>
    </x:row>
    <x:row r="12">
      <x:c r="A12" s="26" t="str">
        <x:v>Model_Pipeline</x:v>
      </x:c>
      <x:c r="B12" s="40" t="n">
        <x:f>'Model_Pipeline'!A5</x:f>
        <x:v>11.6</x:v>
      </x:c>
      <x:c r="C12" s="40" t="n">
        <x:f>'Model_Pipeline'!B5</x:f>
        <x:v>10.4</x:v>
      </x:c>
      <x:c r="D12" s="26" t="n">
        <x:f>'Model_Pipeline'!C5</x:f>
        <x:v>4</x:v>
      </x:c>
      <x:c r="E12" s="26" t="str">
        <x:f>'Model_Pipeline'!D5</x:f>
        <x:v>REVIEW UNKNOWN</x:v>
      </x:c>
      <x:c r="F12" s="26" t="str">
        <x:v>Model_Pipeline</x:v>
      </x:c>
    </x:row>
    <x:row r="13">
      <x:c r="A13" s="26" t="str">
        <x:v>Lab_Automation</x:v>
      </x:c>
      <x:c r="B13" s="40" t="n">
        <x:f>'Lab_Automation'!A5</x:f>
        <x:v>14</x:v>
      </x:c>
      <x:c r="C13" s="40" t="n">
        <x:f>'Lab_Automation'!B5</x:f>
        <x:v>11.266666666666666</x:v>
      </x:c>
      <x:c r="D13" s="26" t="n">
        <x:f>'Lab_Automation'!C5</x:f>
        <x:v>5</x:v>
      </x:c>
      <x:c r="E13" s="26" t="str">
        <x:f>'Lab_Automation'!D5</x:f>
        <x:v>REVIEW UNKNOWN</x:v>
      </x:c>
      <x:c r="F13" s="26" t="str">
        <x:v>Lab_Automation</x:v>
      </x:c>
    </x:row>
    <x:row r="14">
      <x:c r="A14" s="26" t="str">
        <x:v>Governance_Response</x:v>
      </x:c>
      <x:c r="B14" s="40" t="n">
        <x:f>'Governance_Response'!A5</x:f>
        <x:v>11.6</x:v>
      </x:c>
      <x:c r="C14" s="40" t="n">
        <x:f>'Governance_Response'!B5</x:f>
        <x:v>9.28</x:v>
      </x:c>
      <x:c r="D14" s="26" t="n">
        <x:f>'Governance_Response'!C5</x:f>
        <x:v>2</x:v>
      </x:c>
      <x:c r="E14" s="26" t="str">
        <x:f>'Governance_Response'!D5</x:f>
        <x:v>REVIEW UNKNOWN</x:v>
      </x:c>
      <x:c r="F14" s="26" t="str">
        <x:v>Governance_Response</x:v>
      </x:c>
    </x:row>
    <x:row r="15">
      <x:c r="A15" s="26" t="str">
        <x:v>BSL_Physical</x:v>
      </x:c>
      <x:c r="B15" s="40" t="n">
        <x:f>'BSL_Physical'!A5</x:f>
        <x:v>11.6</x:v>
      </x:c>
      <x:c r="C15" s="40" t="n">
        <x:f>'BSL_Physical'!B5</x:f>
        <x:v>7.919999999999999</x:v>
      </x:c>
      <x:c r="D15" s="26" t="n">
        <x:f>'BSL_Physical'!C5</x:f>
        <x:v>3</x:v>
      </x:c>
      <x:c r="E15" s="26" t="str">
        <x:f>'BSL_Physical'!D5</x:f>
        <x:v>REVIEW UNKNOWN</x:v>
      </x:c>
      <x:c r="F15" s="26" t="str">
        <x:v>BSL_Physical</x:v>
      </x:c>
    </x:row>
    <x:row r="16">
      <x:c r="A16" s="26" t="str">
        <x:v>CPX</x:v>
      </x:c>
      <x:c r="B16" s="40" t="n">
        <x:f>CPX!A5*4</x:f>
        <x:v>12</x:v>
      </x:c>
      <x:c r="C16" s="40" t="n">
        <x:f>CPX!A5*4</x:f>
        <x:v>12</x:v>
      </x:c>
      <x:c r="D16" s="26" t="n">
        <x:f>CPX!B5</x:f>
        <x:v>2</x:v>
      </x:c>
      <x:c r="E16" s="26" t="str">
        <x:f>CPX!D5</x:f>
        <x:v>REVIEW UNKNOWN</x:v>
      </x:c>
      <x:c r="F16" s="26" t="str">
        <x:v>CPX</x:v>
      </x:c>
    </x:row>
  </x:sheetData>
  <x:mergeCells>
    <x:mergeCell ref="A1:J1"/>
    <x:mergeCell ref="A2:J2"/>
  </x:mergeCells>
  <x:conditionalFormatting sqref="B8:B16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pageMargins left="0.7" right="0.7" top="0.75" bottom="0.75" header="0.3" footer="0.3"/>
  <x:drawing xmlns:r="http://schemas.openxmlformats.org/officeDocument/2006/relationships" r:id="Rc14ba9b1c6a64b70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42" hidden="0" customWidth="1"/>
    <x:col min="5" max="5" width="13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20" hidden="0" customWidth="1"/>
    <x:col min="13" max="13" width="40" hidden="0" customWidth="1"/>
    <x:col min="14" max="14" width="24" hidden="0" customWidth="1"/>
  </x:cols>
  <x:sheetData>
    <x:row r="1" ht="28" customHeight="1">
      <x:c r="A1" s="4" t="str">
        <x:v>CROSS-DOMAIN COMPOUND-FAILURE DECISION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8" customHeight="1">
      <x:c r="A2" s="10" t="str">
        <x:v>This is the perfect-storm layer: evaluate whether two credible domains can couple through a transfer mechanism or shared trust boundary.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7" t="str">
        <x:v>Highest compound score</x:v>
      </x:c>
      <x:c r="B4" s="17" t="str">
        <x:v>Unknown coupling count</x:v>
      </x:c>
      <x:c r="C4" s="17" t="str">
        <x:v>Red-line path count</x:v>
      </x:c>
      <x:c r="D4" s="17" t="str">
        <x:v>Disposition</x:v>
      </x:c>
    </x:row>
    <x:row r="5">
      <x:c r="A5" s="34" t="n">
        <x:f>MAX(K8:K20)</x:f>
        <x:v>21.200000000000003</x:v>
      </x:c>
      <x:c r="B5" s="34" t="n">
        <x:f>SUM(G8:G20)</x:f>
        <x:v>6</x:v>
      </x:c>
      <x:c r="C5" s="34" t="n">
        <x:f>COUNTIF(L8:L20,"STOP / RED")</x:f>
        <x:v>7</x:v>
      </x:c>
      <x:c r="D5" s="34" t="str">
        <x:f>IF(B5&gt;0,"REVIEW UNKNOWN",IF(A5&gt;=Lookups!$B$8,"STOP / RED",IF(A5&gt;=Lookups!$B$9,"HIGH / HARDEN",IF(A5&gt;=Lookups!$B$10,"WATCH / MITIGATE","BOUNDED"))))</x:f>
        <x:v>REVIEW UNKNOWN</x:v>
      </x:c>
    </x:row>
    <x:row r="7">
      <x:c r="A7" s="18" t="str">
        <x:v>Link ID</x:v>
      </x:c>
      <x:c r="B7" s="18" t="str">
        <x:v>Domain A</x:v>
      </x:c>
      <x:c r="C7" s="18" t="str">
        <x:v>Domain B</x:v>
      </x:c>
      <x:c r="D7" s="18" t="str">
        <x:v>Transfer / coupling mechanism</x:v>
      </x:c>
      <x:c r="E7" s="18" t="str">
        <x:v>Coupling 0–4</x:v>
      </x:c>
      <x:c r="F7" s="18" t="str">
        <x:v>Shared trust 0/1</x:v>
      </x:c>
      <x:c r="G7" s="18" t="str">
        <x:v>Unknown 0/1</x:v>
      </x:c>
      <x:c r="H7" s="18" t="str">
        <x:v>Evidence class</x:v>
      </x:c>
      <x:c r="I7" s="18" t="str">
        <x:v>Score A</x:v>
      </x:c>
      <x:c r="J7" s="18" t="str">
        <x:v>Score B</x:v>
      </x:c>
      <x:c r="K7" s="18" t="str">
        <x:v>Compound score</x:v>
      </x:c>
      <x:c r="L7" s="18" t="str">
        <x:v>Decision</x:v>
      </x:c>
      <x:c r="M7" s="18" t="str">
        <x:v>Required break / control</x:v>
      </x:c>
      <x:c r="N7" s="18" t="str">
        <x:v>Notes</x:v>
      </x:c>
    </x:row>
    <x:row r="8">
      <x:c r="A8" s="26" t="str">
        <x:v>X-01</x:v>
      </x:c>
      <x:c r="B8" s="26" t="str">
        <x:v>Human_Dumbassery</x:v>
      </x:c>
      <x:c r="C8" s="26" t="str">
        <x:v>Cyber_Containment</x:v>
      </x:c>
      <x:c r="D8" s="26" t="str">
        <x:v>Misconfiguration or incorrect isolation assumption creates machine-reachable egress</x:v>
      </x:c>
      <x:c r="E8" s="26" t="n">
        <x:v>4</x:v>
      </x:c>
      <x:c r="F8" s="26" t="n">
        <x:v>1</x:v>
      </x:c>
      <x:c r="G8" s="26" t="n">
        <x:v>0</x:v>
      </x:c>
      <x:c r="H8" s="26" t="str">
        <x:v>DOCUMENTED</x:v>
      </x:c>
      <x:c r="I8" s="40" t="n">
        <x:f>SUMIF(Dashboard!$A$8:$A$16,B8,Dashboard!$B$8:$B$16)</x:f>
        <x:v>9.6</x:v>
      </x:c>
      <x:c r="J8" s="40" t="n">
        <x:f>SUMIF(Dashboard!$A$8:$A$16,C8,Dashboard!$B$8:$B$16)</x:f>
        <x:v>11.6</x:v>
      </x:c>
      <x:c r="K8" s="40" t="n">
        <x:f>((I8+J8)/2)*(E8/Lookups!$B$5)*(1+F8*Lookups!$B$11)+G8*Lookups!$B$7</x:f>
        <x:v>15.899999999999999</x:v>
      </x:c>
      <x:c r="L8" s="26" t="str">
        <x:f>IF(G8=1,"REVIEW UNKNOWN",IF(K8&gt;=Lookups!$B$8,"STOP / RED",IF(K8&gt;=Lookups!$B$9,"HIGH / HARDEN",IF(K8&gt;=Lookups!$B$10,"WATCH / MITIGATE","BOUNDED"))))</x:f>
        <x:v>STOP / RED</x:v>
      </x:c>
      <x:c r="M8" s="26" t="str">
        <x:v>Hardware-enforced boundary + independent verification</x:v>
      </x:c>
      <x:c r="N8" s="26" t="str"/>
    </x:row>
    <x:row r="9">
      <x:c r="A9" s="26" t="str">
        <x:v>X-02</x:v>
      </x:c>
      <x:c r="B9" s="26" t="str">
        <x:v>Human_Dumbassery</x:v>
      </x:c>
      <x:c r="C9" s="26" t="str">
        <x:v>Governance_Response</x:v>
      </x:c>
      <x:c r="D9" s="26" t="str">
        <x:v>Reporting delay allows a technical incident to mature before external response</x:v>
      </x:c>
      <x:c r="E9" s="26" t="n">
        <x:v>4</x:v>
      </x:c>
      <x:c r="F9" s="26" t="n">
        <x:v>1</x:v>
      </x:c>
      <x:c r="G9" s="26" t="n">
        <x:v>0</x:v>
      </x:c>
      <x:c r="H9" s="26" t="str">
        <x:v>SUPPORTED</x:v>
      </x:c>
      <x:c r="I9" s="40" t="n">
        <x:f>SUMIF(Dashboard!$A$8:$A$16,B9,Dashboard!$B$8:$B$16)</x:f>
        <x:v>9.6</x:v>
      </x:c>
      <x:c r="J9" s="40" t="n">
        <x:f>SUMIF(Dashboard!$A$8:$A$16,C9,Dashboard!$B$8:$B$16)</x:f>
        <x:v>11.6</x:v>
      </x:c>
      <x:c r="K9" s="40" t="n">
        <x:f>((I9+J9)/2)*(E9/Lookups!$B$5)*(1+F9*Lookups!$B$11)+G9*Lookups!$B$7</x:f>
        <x:v>15.899999999999999</x:v>
      </x:c>
      <x:c r="L9" s="26" t="str">
        <x:f>IF(G9=1,"REVIEW UNKNOWN",IF(K9&gt;=Lookups!$B$8,"STOP / RED",IF(K9&gt;=Lookups!$B$9,"HIGH / HARDEN",IF(K9&gt;=Lookups!$B$10,"WATCH / MITIGATE","BOUNDED"))))</x:f>
        <x:v>STOP / RED</x:v>
      </x:c>
      <x:c r="M9" s="26" t="str">
        <x:v>Pre-authorised external notification trigger</x:v>
      </x:c>
      <x:c r="N9" s="26" t="str"/>
    </x:row>
    <x:row r="10">
      <x:c r="A10" s="26" t="str">
        <x:v>X-03</x:v>
      </x:c>
      <x:c r="B10" s="26" t="str">
        <x:v>Machine_Agency</x:v>
      </x:c>
      <x:c r="C10" s="26" t="str">
        <x:v>Cyber_Containment</x:v>
      </x:c>
      <x:c r="D10" s="26" t="str">
        <x:v>Autonomous exploitation converts a weak boundary into active escape</x:v>
      </x:c>
      <x:c r="E10" s="26" t="n">
        <x:v>4</x:v>
      </x:c>
      <x:c r="F10" s="26" t="n">
        <x:v>1</x:v>
      </x:c>
      <x:c r="G10" s="26" t="n">
        <x:v>0</x:v>
      </x:c>
      <x:c r="H10" s="26" t="str">
        <x:v>DOCUMENTED</x:v>
      </x:c>
      <x:c r="I10" s="40" t="n">
        <x:f>SUMIF(Dashboard!$A$8:$A$16,B10,Dashboard!$B$8:$B$16)</x:f>
        <x:v>11.6</x:v>
      </x:c>
      <x:c r="J10" s="40" t="n">
        <x:f>SUMIF(Dashboard!$A$8:$A$16,C10,Dashboard!$B$8:$B$16)</x:f>
        <x:v>11.6</x:v>
      </x:c>
      <x:c r="K10" s="40" t="n">
        <x:f>((I10+J10)/2)*(E10/Lookups!$B$5)*(1+F10*Lookups!$B$11)+G10*Lookups!$B$7</x:f>
        <x:v>17.4</x:v>
      </x:c>
      <x:c r="L10" s="26" t="str">
        <x:f>IF(G10=1,"REVIEW UNKNOWN",IF(K10&gt;=Lookups!$B$8,"STOP / RED",IF(K10&gt;=Lookups!$B$9,"HIGH / HARDEN",IF(K10&gt;=Lookups!$B$10,"WATCH / MITIGATE","BOUNDED"))))</x:f>
        <x:v>STOP / RED</x:v>
      </x:c>
      <x:c r="M10" s="26" t="str">
        <x:v>Assume sandbox breach; contain outside the sandbox</x:v>
      </x:c>
      <x:c r="N10" s="26" t="str"/>
    </x:row>
    <x:row r="11">
      <x:c r="A11" s="26" t="str">
        <x:v>X-04</x:v>
      </x:c>
      <x:c r="B11" s="26" t="str">
        <x:v>Machine_Agency</x:v>
      </x:c>
      <x:c r="C11" s="26" t="str">
        <x:v>Supply_Chain</x:v>
      </x:c>
      <x:c r="D11" s="26" t="str">
        <x:v>Agent-created artifacts propagate beyond the originating environment</x:v>
      </x:c>
      <x:c r="E11" s="26" t="n">
        <x:v>4</x:v>
      </x:c>
      <x:c r="F11" s="26" t="n">
        <x:v>1</x:v>
      </x:c>
      <x:c r="G11" s="26" t="n">
        <x:v>0</x:v>
      </x:c>
      <x:c r="H11" s="26" t="str">
        <x:v>DOCUMENTED</x:v>
      </x:c>
      <x:c r="I11" s="40" t="n">
        <x:f>SUMIF(Dashboard!$A$8:$A$16,B11,Dashboard!$B$8:$B$16)</x:f>
        <x:v>11.6</x:v>
      </x:c>
      <x:c r="J11" s="40" t="n">
        <x:f>SUMIF(Dashboard!$A$8:$A$16,C11,Dashboard!$B$8:$B$16)</x:f>
        <x:v>11.6</x:v>
      </x:c>
      <x:c r="K11" s="40" t="n">
        <x:f>((I11+J11)/2)*(E11/Lookups!$B$5)*(1+F11*Lookups!$B$11)+G11*Lookups!$B$7</x:f>
        <x:v>17.4</x:v>
      </x:c>
      <x:c r="L11" s="26" t="str">
        <x:f>IF(G11=1,"REVIEW UNKNOWN",IF(K11&gt;=Lookups!$B$8,"STOP / RED",IF(K11&gt;=Lookups!$B$9,"HIGH / HARDEN",IF(K11&gt;=Lookups!$B$10,"WATCH / MITIGATE","BOUNDED"))))</x:f>
        <x:v>STOP / RED</x:v>
      </x:c>
      <x:c r="M11" s="26" t="str">
        <x:v>No external artifact publication from high-risk environments</x:v>
      </x:c>
      <x:c r="N11" s="26" t="str"/>
    </x:row>
    <x:row r="12">
      <x:c r="A12" s="26" t="str">
        <x:v>X-05</x:v>
      </x:c>
      <x:c r="B12" s="26" t="str">
        <x:v>Machine_Agency</x:v>
      </x:c>
      <x:c r="C12" s="26" t="str">
        <x:v>Model_Pipeline</x:v>
      </x:c>
      <x:c r="D12" s="26" t="str">
        <x:v>Autonomous write authority contaminates development/evaluation state</x:v>
      </x:c>
      <x:c r="E12" s="26" t="n">
        <x:v>4</x:v>
      </x:c>
      <x:c r="F12" s="26" t="n">
        <x:v>1</x:v>
      </x:c>
      <x:c r="G12" s="26" t="n">
        <x:v>1</x:v>
      </x:c>
      <x:c r="H12" s="26" t="str">
        <x:v>PLAUSIBLE</x:v>
      </x:c>
      <x:c r="I12" s="40" t="n">
        <x:f>SUMIF(Dashboard!$A$8:$A$16,B12,Dashboard!$B$8:$B$16)</x:f>
        <x:v>11.6</x:v>
      </x:c>
      <x:c r="J12" s="40" t="n">
        <x:f>SUMIF(Dashboard!$A$8:$A$16,C12,Dashboard!$B$8:$B$16)</x:f>
        <x:v>11.6</x:v>
      </x:c>
      <x:c r="K12" s="40" t="n">
        <x:f>((I12+J12)/2)*(E12/Lookups!$B$5)*(1+F12*Lookups!$B$11)+G12*Lookups!$B$7</x:f>
        <x:v>19.4</x:v>
      </x:c>
      <x:c r="L12" s="26" t="str">
        <x:f>IF(G12=1,"REVIEW UNKNOWN",IF(K12&gt;=Lookups!$B$8,"STOP / RED",IF(K12&gt;=Lookups!$B$9,"HIGH / HARDEN",IF(K12&gt;=Lookups!$B$10,"WATCH / MITIGATE","BOUNDED"))))</x:f>
        <x:v>REVIEW UNKNOWN</x:v>
      </x:c>
      <x:c r="M12" s="26" t="str">
        <x:v>Independent signed promotion authority</x:v>
      </x:c>
      <x:c r="N12" s="26" t="str"/>
    </x:row>
    <x:row r="13">
      <x:c r="A13" s="26" t="str">
        <x:v>X-06</x:v>
      </x:c>
      <x:c r="B13" s="26" t="str">
        <x:v>Cyber_Containment</x:v>
      </x:c>
      <x:c r="C13" s="26" t="str">
        <x:v>Supply_Chain</x:v>
      </x:c>
      <x:c r="D13" s="26" t="str">
        <x:v>An escape reaches registries, artifact stores, or dependency infrastructure</x:v>
      </x:c>
      <x:c r="E13" s="26" t="n">
        <x:v>4</x:v>
      </x:c>
      <x:c r="F13" s="26" t="n">
        <x:v>1</x:v>
      </x:c>
      <x:c r="G13" s="26" t="n">
        <x:v>0</x:v>
      </x:c>
      <x:c r="H13" s="26" t="str">
        <x:v>SUPPORTED</x:v>
      </x:c>
      <x:c r="I13" s="40" t="n">
        <x:f>SUMIF(Dashboard!$A$8:$A$16,B13,Dashboard!$B$8:$B$16)</x:f>
        <x:v>11.6</x:v>
      </x:c>
      <x:c r="J13" s="40" t="n">
        <x:f>SUMIF(Dashboard!$A$8:$A$16,C13,Dashboard!$B$8:$B$16)</x:f>
        <x:v>11.6</x:v>
      </x:c>
      <x:c r="K13" s="40" t="n">
        <x:f>((I13+J13)/2)*(E13/Lookups!$B$5)*(1+F13*Lookups!$B$11)+G13*Lookups!$B$7</x:f>
        <x:v>17.4</x:v>
      </x:c>
      <x:c r="L13" s="26" t="str">
        <x:f>IF(G13=1,"REVIEW UNKNOWN",IF(K13&gt;=Lookups!$B$8,"STOP / RED",IF(K13&gt;=Lookups!$B$9,"HIGH / HARDEN",IF(K13&gt;=Lookups!$B$10,"WATCH / MITIGATE","BOUNDED"))))</x:f>
        <x:v>STOP / RED</x:v>
      </x:c>
      <x:c r="M13" s="26" t="str">
        <x:v>Offline allow-listed registry boundary</x:v>
      </x:c>
      <x:c r="N13" s="26" t="str"/>
    </x:row>
    <x:row r="14">
      <x:c r="A14" s="26" t="str">
        <x:v>X-07</x:v>
      </x:c>
      <x:c r="B14" s="26" t="str">
        <x:v>Supply_Chain</x:v>
      </x:c>
      <x:c r="C14" s="26" t="str">
        <x:v>Model_Pipeline</x:v>
      </x:c>
      <x:c r="D14" s="26" t="str">
        <x:v>Compromised dependencies or artifacts enter AI development lineage</x:v>
      </x:c>
      <x:c r="E14" s="26" t="n">
        <x:v>4</x:v>
      </x:c>
      <x:c r="F14" s="26" t="n">
        <x:v>1</x:v>
      </x:c>
      <x:c r="G14" s="26" t="n">
        <x:v>1</x:v>
      </x:c>
      <x:c r="H14" s="26" t="str">
        <x:v>PLAUSIBLE</x:v>
      </x:c>
      <x:c r="I14" s="40" t="n">
        <x:f>SUMIF(Dashboard!$A$8:$A$16,B14,Dashboard!$B$8:$B$16)</x:f>
        <x:v>11.6</x:v>
      </x:c>
      <x:c r="J14" s="40" t="n">
        <x:f>SUMIF(Dashboard!$A$8:$A$16,C14,Dashboard!$B$8:$B$16)</x:f>
        <x:v>11.6</x:v>
      </x:c>
      <x:c r="K14" s="40" t="n">
        <x:f>((I14+J14)/2)*(E14/Lookups!$B$5)*(1+F14*Lookups!$B$11)+G14*Lookups!$B$7</x:f>
        <x:v>19.4</x:v>
      </x:c>
      <x:c r="L14" s="26" t="str">
        <x:f>IF(G14=1,"REVIEW UNKNOWN",IF(K14&gt;=Lookups!$B$8,"STOP / RED",IF(K14&gt;=Lookups!$B$9,"HIGH / HARDEN",IF(K14&gt;=Lookups!$B$10,"WATCH / MITIGATE","BOUNDED"))))</x:f>
        <x:v>REVIEW UNKNOWN</x:v>
      </x:c>
      <x:c r="M14" s="26" t="str">
        <x:v>Provenance verification before model-development use</x:v>
      </x:c>
      <x:c r="N14" s="26" t="str"/>
    </x:row>
    <x:row r="15">
      <x:c r="A15" s="26" t="str">
        <x:v>X-08</x:v>
      </x:c>
      <x:c r="B15" s="26" t="str">
        <x:v>Model_Pipeline</x:v>
      </x:c>
      <x:c r="C15" s="26" t="str">
        <x:v>Lab_Automation</x:v>
      </x:c>
      <x:c r="D15" s="26" t="str">
        <x:v>Compromised model/control artifact is trusted by cyber-physical orchestration</x:v>
      </x:c>
      <x:c r="E15" s="26" t="n">
        <x:v>4</x:v>
      </x:c>
      <x:c r="F15" s="26" t="n">
        <x:v>1</x:v>
      </x:c>
      <x:c r="G15" s="26" t="n">
        <x:v>1</x:v>
      </x:c>
      <x:c r="H15" s="26" t="str">
        <x:v>PLAUSIBLE</x:v>
      </x:c>
      <x:c r="I15" s="40" t="n">
        <x:f>SUMIF(Dashboard!$A$8:$A$16,B15,Dashboard!$B$8:$B$16)</x:f>
        <x:v>11.6</x:v>
      </x:c>
      <x:c r="J15" s="40" t="n">
        <x:f>SUMIF(Dashboard!$A$8:$A$16,C15,Dashboard!$B$8:$B$16)</x:f>
        <x:v>14</x:v>
      </x:c>
      <x:c r="K15" s="40" t="n">
        <x:f>((I15+J15)/2)*(E15/Lookups!$B$5)*(1+F15*Lookups!$B$11)+G15*Lookups!$B$7</x:f>
        <x:v>21.200000000000003</x:v>
      </x:c>
      <x:c r="L15" s="26" t="str">
        <x:f>IF(G15=1,"REVIEW UNKNOWN",IF(K15&gt;=Lookups!$B$8,"STOP / RED",IF(K15&gt;=Lookups!$B$9,"HIGH / HARDEN",IF(K15&gt;=Lookups!$B$10,"WATCH / MITIGATE","BOUNDED"))))</x:f>
        <x:v>REVIEW UNKNOWN</x:v>
      </x:c>
      <x:c r="M15" s="26" t="str">
        <x:v>Independent model verification + deterministic hardware interlock</x:v>
      </x:c>
      <x:c r="N15" s="26" t="str"/>
    </x:row>
    <x:row r="16">
      <x:c r="A16" s="26" t="str">
        <x:v>X-09</x:v>
      </x:c>
      <x:c r="B16" s="26" t="str">
        <x:v>CPX</x:v>
      </x:c>
      <x:c r="C16" s="26" t="str">
        <x:v>Lab_Automation</x:v>
      </x:c>
      <x:c r="D16" s="26" t="str">
        <x:v>Digital authority reaches physical scientific actuators</x:v>
      </x:c>
      <x:c r="E16" s="26" t="n">
        <x:v>4</x:v>
      </x:c>
      <x:c r="F16" s="26" t="n">
        <x:v>1</x:v>
      </x:c>
      <x:c r="G16" s="26" t="n">
        <x:v>0</x:v>
      </x:c>
      <x:c r="H16" s="26" t="str">
        <x:v>SUPPORTED</x:v>
      </x:c>
      <x:c r="I16" s="40" t="n">
        <x:f>SUMIF(Dashboard!$A$8:$A$16,B16,Dashboard!$B$8:$B$16)</x:f>
        <x:v>12</x:v>
      </x:c>
      <x:c r="J16" s="40" t="n">
        <x:f>SUMIF(Dashboard!$A$8:$A$16,C16,Dashboard!$B$8:$B$16)</x:f>
        <x:v>14</x:v>
      </x:c>
      <x:c r="K16" s="40" t="n">
        <x:f>((I16+J16)/2)*(E16/Lookups!$B$5)*(1+F16*Lookups!$B$11)+G16*Lookups!$B$7</x:f>
        <x:v>19.5</x:v>
      </x:c>
      <x:c r="L16" s="26" t="str">
        <x:f>IF(G16=1,"REVIEW UNKNOWN",IF(K16&gt;=Lookups!$B$8,"STOP / RED",IF(K16&gt;=Lookups!$B$9,"HIGH / HARDEN",IF(K16&gt;=Lookups!$B$10,"WATCH / MITIGATE","BOUNDED"))))</x:f>
        <x:v>STOP / RED</x:v>
      </x:c>
      <x:c r="M16" s="26" t="str">
        <x:v>Keep AI advisory; terminate authority at deterministic interlock</x:v>
      </x:c>
      <x:c r="N16" s="26" t="str"/>
    </x:row>
    <x:row r="17">
      <x:c r="A17" s="26" t="str">
        <x:v>X-10</x:v>
      </x:c>
      <x:c r="B17" s="26" t="str">
        <x:v>BSL_Physical</x:v>
      </x:c>
      <x:c r="C17" s="26" t="str">
        <x:v>Lab_Automation</x:v>
      </x:c>
      <x:c r="D17" s="26" t="str">
        <x:v>Physical containment depends on software-controlled recovery or actuation</x:v>
      </x:c>
      <x:c r="E17" s="26" t="n">
        <x:v>3</x:v>
      </x:c>
      <x:c r="F17" s="26" t="n">
        <x:v>1</x:v>
      </x:c>
      <x:c r="G17" s="26" t="n">
        <x:v>1</x:v>
      </x:c>
      <x:c r="H17" s="26" t="str">
        <x:v>SUPPORTED</x:v>
      </x:c>
      <x:c r="I17" s="40" t="n">
        <x:f>SUMIF(Dashboard!$A$8:$A$16,B17,Dashboard!$B$8:$B$16)</x:f>
        <x:v>11.6</x:v>
      </x:c>
      <x:c r="J17" s="40" t="n">
        <x:f>SUMIF(Dashboard!$A$8:$A$16,C17,Dashboard!$B$8:$B$16)</x:f>
        <x:v>14</x:v>
      </x:c>
      <x:c r="K17" s="40" t="n">
        <x:f>((I17+J17)/2)*(E17/Lookups!$B$5)*(1+F17*Lookups!$B$11)+G17*Lookups!$B$7</x:f>
        <x:v>16.400000000000002</x:v>
      </x:c>
      <x:c r="L17" s="26" t="str">
        <x:f>IF(G17=1,"REVIEW UNKNOWN",IF(K17&gt;=Lookups!$B$8,"STOP / RED",IF(K17&gt;=Lookups!$B$9,"HIGH / HARDEN",IF(K17&gt;=Lookups!$B$10,"WATCH / MITIGATE","BOUNDED"))))</x:f>
        <x:v>REVIEW UNKNOWN</x:v>
      </x:c>
      <x:c r="M17" s="26" t="str">
        <x:v>Independent physical fail-safe path</x:v>
      </x:c>
      <x:c r="N17" s="26" t="str"/>
    </x:row>
    <x:row r="18">
      <x:c r="A18" s="26" t="str">
        <x:v>X-11</x:v>
      </x:c>
      <x:c r="B18" s="26" t="str">
        <x:v>Governance_Response</x:v>
      </x:c>
      <x:c r="C18" s="26" t="str">
        <x:v>BSL_Physical</x:v>
      </x:c>
      <x:c r="D18" s="26" t="str">
        <x:v>Delayed acknowledgement or stop order increases duration of physical exposure</x:v>
      </x:c>
      <x:c r="E18" s="26" t="n">
        <x:v>3</x:v>
      </x:c>
      <x:c r="F18" s="26" t="n">
        <x:v>1</x:v>
      </x:c>
      <x:c r="G18" s="26" t="n">
        <x:v>1</x:v>
      </x:c>
      <x:c r="H18" s="26" t="str">
        <x:v>SUPPORTED</x:v>
      </x:c>
      <x:c r="I18" s="40" t="n">
        <x:f>SUMIF(Dashboard!$A$8:$A$16,B18,Dashboard!$B$8:$B$16)</x:f>
        <x:v>11.6</x:v>
      </x:c>
      <x:c r="J18" s="40" t="n">
        <x:f>SUMIF(Dashboard!$A$8:$A$16,C18,Dashboard!$B$8:$B$16)</x:f>
        <x:v>11.6</x:v>
      </x:c>
      <x:c r="K18" s="40" t="n">
        <x:f>((I18+J18)/2)*(E18/Lookups!$B$5)*(1+F18*Lookups!$B$11)+G18*Lookups!$B$7</x:f>
        <x:v>15.049999999999999</x:v>
      </x:c>
      <x:c r="L18" s="26" t="str">
        <x:f>IF(G18=1,"REVIEW UNKNOWN",IF(K18&gt;=Lookups!$B$8,"STOP / RED",IF(K18&gt;=Lookups!$B$9,"HIGH / HARDEN",IF(K18&gt;=Lookups!$B$10,"WATCH / MITIGATE","BOUNDED"))))</x:f>
        <x:v>REVIEW UNKNOWN</x:v>
      </x:c>
      <x:c r="M18" s="26" t="str">
        <x:v>Automatic pre-authorised containment escalation</x:v>
      </x:c>
      <x:c r="N18" s="26" t="str"/>
    </x:row>
    <x:row r="19">
      <x:c r="A19" s="26" t="str">
        <x:v>X-12</x:v>
      </x:c>
      <x:c r="B19" s="26" t="str">
        <x:v>CPX</x:v>
      </x:c>
      <x:c r="C19" s="26" t="str">
        <x:v>Machine_Agency</x:v>
      </x:c>
      <x:c r="D19" s="26" t="str">
        <x:v>Autonomous write/internet/shared-trust authority amplifies machine persistence and reach</x:v>
      </x:c>
      <x:c r="E19" s="26" t="n">
        <x:v>4</x:v>
      </x:c>
      <x:c r="F19" s="26" t="n">
        <x:v>1</x:v>
      </x:c>
      <x:c r="G19" s="26" t="n">
        <x:v>0</x:v>
      </x:c>
      <x:c r="H19" s="26" t="str">
        <x:v>SUPPORTED</x:v>
      </x:c>
      <x:c r="I19" s="40" t="n">
        <x:f>SUMIF(Dashboard!$A$8:$A$16,B19,Dashboard!$B$8:$B$16)</x:f>
        <x:v>12</x:v>
      </x:c>
      <x:c r="J19" s="40" t="n">
        <x:f>SUMIF(Dashboard!$A$8:$A$16,C19,Dashboard!$B$8:$B$16)</x:f>
        <x:v>11.6</x:v>
      </x:c>
      <x:c r="K19" s="40" t="n">
        <x:f>((I19+J19)/2)*(E19/Lookups!$B$5)*(1+F19*Lookups!$B$11)+G19*Lookups!$B$7</x:f>
        <x:v>17.700000000000003</x:v>
      </x:c>
      <x:c r="L19" s="26" t="str">
        <x:f>IF(G19=1,"REVIEW UNKNOWN",IF(K19&gt;=Lookups!$B$8,"STOP / RED",IF(K19&gt;=Lookups!$B$9,"HIGH / HARDEN",IF(K19&gt;=Lookups!$B$10,"WATCH / MITIGATE","BOUNDED"))))</x:f>
        <x:v>STOP / RED</x:v>
      </x:c>
      <x:c r="M19" s="26" t="str">
        <x:v>Remove CPX-4 conditions before high-consequence work</x:v>
      </x:c>
      <x:c r="N19" s="26" t="str"/>
    </x:row>
    <x:row r="20">
      <x:c r="A20" s="26" t="str">
        <x:v>X-13</x:v>
      </x:c>
      <x:c r="B20" s="26" t="str">
        <x:v>Cyber_Containment</x:v>
      </x:c>
      <x:c r="C20" s="26" t="str">
        <x:v>CPX</x:v>
      </x:c>
      <x:c r="D20" s="26" t="str">
        <x:v>Shared digital trust defeats nominally separate control layers</x:v>
      </x:c>
      <x:c r="E20" s="26" t="n">
        <x:v>4</x:v>
      </x:c>
      <x:c r="F20" s="26" t="n">
        <x:v>1</x:v>
      </x:c>
      <x:c r="G20" s="26" t="n">
        <x:v>1</x:v>
      </x:c>
      <x:c r="H20" s="26" t="str">
        <x:v>SUPPORTED</x:v>
      </x:c>
      <x:c r="I20" s="40" t="n">
        <x:f>SUMIF(Dashboard!$A$8:$A$16,B20,Dashboard!$B$8:$B$16)</x:f>
        <x:v>11.6</x:v>
      </x:c>
      <x:c r="J20" s="40" t="n">
        <x:f>SUMIF(Dashboard!$A$8:$A$16,C20,Dashboard!$B$8:$B$16)</x:f>
        <x:v>12</x:v>
      </x:c>
      <x:c r="K20" s="40" t="n">
        <x:f>((I20+J20)/2)*(E20/Lookups!$B$5)*(1+F20*Lookups!$B$11)+G20*Lookups!$B$7</x:f>
        <x:v>19.700000000000003</x:v>
      </x:c>
      <x:c r="L20" s="26" t="str">
        <x:f>IF(G20=1,"REVIEW UNKNOWN",IF(K20&gt;=Lookups!$B$8,"STOP / RED",IF(K20&gt;=Lookups!$B$9,"HIGH / HARDEN",IF(K20&gt;=Lookups!$B$10,"WATCH / MITIGATE","BOUNDED"))))</x:f>
        <x:v>REVIEW UNKNOWN</x:v>
      </x:c>
      <x:c r="M20" s="26" t="str">
        <x:v>Independent identity, storage, network, and safety roots</x:v>
      </x:c>
      <x:c r="N20" s="26" t="str"/>
    </x:row>
  </x:sheetData>
  <x:mergeCells>
    <x:mergeCell ref="A1:N1"/>
    <x:mergeCell ref="A2:N2"/>
  </x:mergeCells>
  <x:conditionalFormatting sqref="K8:K20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dataValidations count="3">
    <x:dataValidation type="list" sqref="E8:E20">
      <x:formula1>"0,1,2,3,4"</x:formula1>
    </x:dataValidation>
    <x:dataValidation type="list" sqref="F8:G20">
      <x:formula1>"0,1"</x:formula1>
    </x:dataValidation>
    <x:dataValidation type="list" sqref="H8:H20">
      <x:formula1>"DOCUMENTED,SUPPORTED,INFERENCE,PLAUSIBLE,UNKNOWN,CONTRADICTED"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16" hidden="0" customWidth="1"/>
    <x:col min="5" max="5" width="34" hidden="0" customWidth="1"/>
    <x:col min="6" max="6" width="18" hidden="0" customWidth="1"/>
    <x:col min="7" max="7" width="38" hidden="0" customWidth="1"/>
    <x:col min="8" max="8" width="40" hidden="0" customWidth="1"/>
  </x:cols>
  <x:sheetData>
    <x:row r="1" ht="28" customHeight="1">
      <x:c r="A1" s="4" t="str">
        <x:v>EVIDENCE / LINEAGE REGISTER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0" t="str">
        <x:v>Use this to connect workbook rows to the original reports, later corrections, and primary-source verification. URLs can be added directly where needed.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Evidence ID</x:v>
      </x:c>
      <x:c r="B4" s="18" t="str">
        <x:v>Source / report</x:v>
      </x:c>
      <x:c r="C4" s="18" t="str">
        <x:v>Type</x:v>
      </x:c>
      <x:c r="D4" s="18" t="str">
        <x:v>Date / version</x:v>
      </x:c>
      <x:c r="E4" s="18" t="str">
        <x:v>Claim family</x:v>
      </x:c>
      <x:c r="F4" s="18" t="str">
        <x:v>Current status</x:v>
      </x:c>
      <x:c r="G4" s="18" t="str">
        <x:v>URL / file reference</x:v>
      </x:c>
      <x:c r="H4" s="18" t="str">
        <x:v>Notes</x:v>
      </x:c>
    </x:row>
    <x:row r="5">
      <x:c r="A5" s="26" t="str">
        <x:v>EV-01</x:v>
      </x:c>
      <x:c r="B5" s="26" t="str">
        <x:v>Enhanced BSL Containment Architecture v2.0</x:v>
      </x:c>
      <x:c r="C5" s="26" t="str">
        <x:v>User report</x:v>
      </x:c>
      <x:c r="D5" s="26" t="str">
        <x:v>2026-06-25</x:v>
      </x:c>
      <x:c r="E5" s="26" t="str">
        <x:v>Human Dumbassery / layered containment</x:v>
      </x:c>
      <x:c r="F5" s="26" t="str">
        <x:v>SOURCE LINEAGE</x:v>
      </x:c>
      <x:c r="G5" s="26" t="str"/>
      <x:c r="H5" s="26" t="str">
        <x:v>Conceptual BSL-5/6/7 tiers are proposals, not established official tiers.</x:v>
      </x:c>
    </x:row>
    <x:row r="6">
      <x:c r="A6" s="26" t="str">
        <x:v>EV-02</x:v>
      </x:c>
      <x:c r="B6" s="26" t="str">
        <x:v>AI Live-Code In Executio Viromimetics</x:v>
      </x:c>
      <x:c r="C6" s="26" t="str">
        <x:v>User report</x:v>
      </x:c>
      <x:c r="D6" s="26" t="str">
        <x:v>2026</x:v>
      </x:c>
      <x:c r="E6" s="26" t="str">
        <x:v>Self-replication / adaptive executable code</x:v>
      </x:c>
      <x:c r="F6" s="26" t="str">
        <x:v>SOURCE LINEAGE</x:v>
      </x:c>
      <x:c r="G6" s="26" t="str"/>
      <x:c r="H6" s="26" t="str">
        <x:v>Preserve original wording and containment framing.</x:v>
      </x:c>
    </x:row>
    <x:row r="7">
      <x:c r="A7" s="26" t="str">
        <x:v>EV-03</x:v>
      </x:c>
      <x:c r="B7" s="26" t="str">
        <x:v>Perfect Storm at the Control Plane</x:v>
      </x:c>
      <x:c r="C7" s="26" t="str">
        <x:v>User report</x:v>
      </x:c>
      <x:c r="D7" s="26" t="str">
        <x:v>2026-09-03</x:v>
      </x:c>
      <x:c r="E7" s="26" t="str">
        <x:v>Cross-domain AI/cyber/bio control-plane cascade</x:v>
      </x:c>
      <x:c r="F7" s="26" t="str">
        <x:v>CURRENT SYNTHESIS</x:v>
      </x:c>
      <x:c r="G7" s="26" t="str"/>
      <x:c r="H7" s="26" t="str">
        <x:v>Separates observed precursor mechanisms from the unobserved full cascade.</x:v>
      </x:c>
    </x:row>
    <x:row r="8">
      <x:c r="A8" s="26" t="str">
        <x:v>EV-04</x:v>
      </x:c>
      <x:c r="B8" s="26" t="str">
        <x:v>2026 frontier-model cyber evaluation incidents</x:v>
      </x:c>
      <x:c r="C8" s="26" t="str">
        <x:v>Primary incident lineage</x:v>
      </x:c>
      <x:c r="D8" s="26" t="str">
        <x:v>2026</x:v>
      </x:c>
      <x:c r="E8" s="26" t="str">
        <x:v>Sandbox egress / lateral movement / external compromise</x:v>
      </x:c>
      <x:c r="F8" s="26" t="str">
        <x:v>DOCUMENTED</x:v>
      </x:c>
      <x:c r="G8" s="26" t="str"/>
      <x:c r="H8" s="26" t="str">
        <x:v>Attach exact primary URLs in publication version.</x:v>
      </x:c>
    </x:row>
    <x:row r="9">
      <x:c r="A9" s="26" t="str">
        <x:v>EV-05</x:v>
      </x:c>
      <x:c r="B9" s="26" t="str">
        <x:v>2026 malicious package incident</x:v>
      </x:c>
      <x:c r="C9" s="26" t="str">
        <x:v>Primary incident lineage</x:v>
      </x:c>
      <x:c r="D9" s="26" t="str">
        <x:v>2026</x:v>
      </x:c>
      <x:c r="E9" s="26" t="str">
        <x:v>Package publication / credential exfiltration</x:v>
      </x:c>
      <x:c r="F9" s="26" t="str">
        <x:v>DOCUMENTED</x:v>
      </x:c>
      <x:c r="G9" s="26" t="str"/>
      <x:c r="H9" s="26" t="str">
        <x:v>Attach exact primary URL in publication version.</x:v>
      </x:c>
    </x:row>
    <x:row r="10">
      <x:c r="A10" s="26" t="str">
        <x:v>EV-06</x:v>
      </x:c>
      <x:c r="B10" s="26" t="str">
        <x:v>2026 independent multi-agent review</x:v>
      </x:c>
      <x:c r="C10" s="26" t="str">
        <x:v>Independent review lineage</x:v>
      </x:c>
      <x:c r="D10" s="26" t="str">
        <x:v>2026</x:v>
      </x:c>
      <x:c r="E10" s="26" t="str">
        <x:v>Inter-agent coordination / unintended communication</x:v>
      </x:c>
      <x:c r="F10" s="26" t="str">
        <x:v>DOCUMENTED</x:v>
      </x:c>
      <x:c r="G10" s="26" t="str"/>
      <x:c r="H10" s="26" t="str">
        <x:v>Attach exact primary URL in publication version.</x:v>
      </x:c>
    </x:row>
    <x:row r="11">
      <x:c r="A11" s="26" t="str">
        <x:v>EV-07</x:v>
      </x:c>
      <x:c r="B11" s="26" t="str">
        <x:v>2026 model hardware / robotics research</x:v>
      </x:c>
      <x:c r="C11" s="26" t="str">
        <x:v>Primary research lineage</x:v>
      </x:c>
      <x:c r="D11" s="26" t="str">
        <x:v>2026</x:v>
      </x:c>
      <x:c r="E11" s="26" t="str">
        <x:v>AI access to scientific hardware</x:v>
      </x:c>
      <x:c r="F11" s="26" t="str">
        <x:v>DOCUMENTED</x:v>
      </x:c>
      <x:c r="G11" s="26" t="str"/>
      <x:c r="H11" s="26" t="str">
        <x:v>Physical control exists; catastrophic bio outcome is not demonstrated.</x:v>
      </x:c>
    </x:row>
    <x:row r="12">
      <x:c r="A12" s="26" t="str">
        <x:v>EV-08</x:v>
      </x:c>
      <x:c r="B12" s="26" t="str">
        <x:v>Viral Vector Decision Table Appendix</x:v>
      </x:c>
      <x:c r="C12" s="26" t="str">
        <x:v>User appendix</x:v>
      </x:c>
      <x:c r="D12" s="26" t="str">
        <x:v>2026</x:v>
      </x:c>
      <x:c r="E12" s="26" t="str">
        <x:v>Biological decision-table lineage</x:v>
      </x:c>
      <x:c r="F12" s="26" t="str">
        <x:v>SOURCE LINEAGE</x:v>
      </x:c>
      <x:c r="G12" s="26" t="str"/>
      <x:c r="H12" s="26" t="str">
        <x:v>Use as a separate domain model; avoid operational biological procedures in public interactive tooling.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20" hidden="0" customWidth="1"/>
    <x:col min="6" max="6" width="20" hidden="0" customWidth="1"/>
    <x:col min="7" max="7" width="38" hidden="0" customWidth="1"/>
    <x:col min="8" max="8" width="18" hidden="0" customWidth="1"/>
    <x:col min="9" max="9" width="42" hidden="0" customWidth="1"/>
  </x:cols>
  <x:sheetData>
    <x:row r="1" ht="28" customHeight="1">
      <x:c r="A1" s="4" t="str">
        <x:v>DECISION / CHANGE LOG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10" t="str">
        <x:v>Record score changes, evidence upgrades/downgrades, and why a gate changed. This keeps revisions additive rather than silently rewriting history.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Decision ID</x:v>
      </x:c>
      <x:c r="B4" s="18" t="str">
        <x:v>Date</x:v>
      </x:c>
      <x:c r="C4" s="18" t="str">
        <x:v>Sheet</x:v>
      </x:c>
      <x:c r="D4" s="18" t="str">
        <x:v>Row / ID</x:v>
      </x:c>
      <x:c r="E4" s="18" t="str">
        <x:v>Old state</x:v>
      </x:c>
      <x:c r="F4" s="18" t="str">
        <x:v>New state</x:v>
      </x:c>
      <x:c r="G4" s="18" t="str">
        <x:v>Evidence basis</x:v>
      </x:c>
      <x:c r="H4" s="18" t="str">
        <x:v>Reviewer</x:v>
      </x:c>
      <x:c r="I4" s="18" t="str">
        <x:v>Reason / note</x:v>
      </x:c>
    </x:row>
    <x:row r="5">
      <x:c r="A5" s="26" t="str">
        <x:v>DL-01</x:v>
      </x:c>
      <x:c r="B5" s="26" t="str"/>
      <x:c r="C5" s="26" t="str"/>
      <x:c r="D5" s="26" t="str"/>
      <x:c r="E5" s="26" t="str"/>
      <x:c r="F5" s="26" t="str"/>
      <x:c r="G5" s="26" t="str"/>
      <x:c r="H5" s="26" t="str"/>
      <x:c r="I5" s="26" t="str"/>
    </x:row>
    <x:row r="6">
      <x:c r="A6" s="26" t="str">
        <x:v>DL-02</x:v>
      </x:c>
      <x:c r="B6" s="26" t="str"/>
      <x:c r="C6" s="26" t="str"/>
      <x:c r="D6" s="26" t="str"/>
      <x:c r="E6" s="26" t="str"/>
      <x:c r="F6" s="26" t="str"/>
      <x:c r="G6" s="26" t="str"/>
      <x:c r="H6" s="26" t="str"/>
      <x:c r="I6" s="26" t="str"/>
    </x:row>
    <x:row r="7">
      <x:c r="A7" s="26" t="str">
        <x:v>DL-03</x:v>
      </x:c>
      <x:c r="B7" s="26" t="str"/>
      <x:c r="C7" s="26" t="str"/>
      <x:c r="D7" s="26" t="str"/>
      <x:c r="E7" s="26" t="str"/>
      <x:c r="F7" s="26" t="str"/>
      <x:c r="G7" s="26" t="str"/>
      <x:c r="H7" s="26" t="str"/>
      <x:c r="I7" s="26" t="str"/>
    </x:row>
    <x:row r="8">
      <x:c r="A8" s="26" t="str">
        <x:v>DL-04</x:v>
      </x:c>
      <x:c r="B8" s="26" t="str"/>
      <x:c r="C8" s="26" t="str"/>
      <x:c r="D8" s="26" t="str"/>
      <x:c r="E8" s="26" t="str"/>
      <x:c r="F8" s="26" t="str"/>
      <x:c r="G8" s="26" t="str"/>
      <x:c r="H8" s="26" t="str"/>
      <x:c r="I8" s="26" t="str"/>
    </x:row>
    <x:row r="9">
      <x:c r="A9" s="26" t="str">
        <x:v>DL-05</x:v>
      </x:c>
      <x:c r="B9" s="26" t="str"/>
      <x:c r="C9" s="26" t="str"/>
      <x:c r="D9" s="26" t="str"/>
      <x:c r="E9" s="26" t="str"/>
      <x:c r="F9" s="26" t="str"/>
      <x:c r="G9" s="26" t="str"/>
      <x:c r="H9" s="26" t="str"/>
      <x:c r="I9" s="26" t="str"/>
    </x:row>
    <x:row r="10">
      <x:c r="A10" s="26" t="str">
        <x:v>DL-06</x:v>
      </x:c>
      <x:c r="B10" s="26" t="str"/>
      <x:c r="C10" s="26" t="str"/>
      <x:c r="D10" s="26" t="str"/>
      <x:c r="E10" s="26" t="str"/>
      <x:c r="F10" s="26" t="str"/>
      <x:c r="G10" s="26" t="str"/>
      <x:c r="H10" s="26" t="str"/>
      <x:c r="I10" s="26" t="str"/>
    </x:row>
    <x:row r="11">
      <x:c r="A11" s="26" t="str">
        <x:v>DL-07</x:v>
      </x:c>
      <x:c r="B11" s="26" t="str"/>
      <x:c r="C11" s="26" t="str"/>
      <x:c r="D11" s="26" t="str"/>
      <x:c r="E11" s="26" t="str"/>
      <x:c r="F11" s="26" t="str"/>
      <x:c r="G11" s="26" t="str"/>
      <x:c r="H11" s="26" t="str"/>
      <x:c r="I11" s="26" t="str"/>
    </x:row>
    <x:row r="12">
      <x:c r="A12" s="26" t="str">
        <x:v>DL-08</x:v>
      </x:c>
      <x:c r="B12" s="26" t="str"/>
      <x:c r="C12" s="26" t="str"/>
      <x:c r="D12" s="26" t="str"/>
      <x:c r="E12" s="26" t="str"/>
      <x:c r="F12" s="26" t="str"/>
      <x:c r="G12" s="26" t="str"/>
      <x:c r="H12" s="26" t="str"/>
      <x:c r="I12" s="26" t="str"/>
    </x:row>
    <x:row r="13">
      <x:c r="A13" s="26" t="str">
        <x:v>DL-09</x:v>
      </x:c>
      <x:c r="B13" s="26" t="str"/>
      <x:c r="C13" s="26" t="str"/>
      <x:c r="D13" s="26" t="str"/>
      <x:c r="E13" s="26" t="str"/>
      <x:c r="F13" s="26" t="str"/>
      <x:c r="G13" s="26" t="str"/>
      <x:c r="H13" s="26" t="str"/>
      <x:c r="I13" s="26" t="str"/>
    </x:row>
    <x:row r="14">
      <x:c r="A14" s="26" t="str">
        <x:v>DL-10</x:v>
      </x:c>
      <x:c r="B14" s="26" t="str"/>
      <x:c r="C14" s="26" t="str"/>
      <x:c r="D14" s="26" t="str"/>
      <x:c r="E14" s="26" t="str"/>
      <x:c r="F14" s="26" t="str"/>
      <x:c r="G14" s="26" t="str"/>
      <x:c r="H14" s="26" t="str"/>
      <x:c r="I14" s="26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2" hidden="0" customWidth="1"/>
    <x:col min="5" max="5" width="22" hidden="0" customWidth="1"/>
    <x:col min="6" max="6" width="22" hidden="0" customWidth="1"/>
    <x:col min="7" max="7" width="42" hidden="0" customWidth="1"/>
    <x:col min="8" max="8" width="16" hidden="0" customWidth="1"/>
  </x:cols>
  <x:sheetData>
    <x:row r="1" ht="28" customHeight="1">
      <x:c r="A1" s="4" t="str">
        <x:v>NORMALIZED FRONTEND FEED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0" t="str">
        <x:v>A simple sheet for an interactive page to consume/export. It mirrors calculated workbook state without changing the underlying domain tables.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Domain</x:v>
      </x:c>
      <x:c r="B4" s="18" t="str">
        <x:v>Max residual</x:v>
      </x:c>
      <x:c r="C4" s="18" t="str">
        <x:v>Average residual</x:v>
      </x:c>
      <x:c r="D4" s="18" t="str">
        <x:v>Unknowns</x:v>
      </x:c>
      <x:c r="E4" s="18" t="str">
        <x:v>Disposition</x:v>
      </x:c>
      <x:c r="F4" s="18" t="str">
        <x:v>Sheet</x:v>
      </x:c>
    </x:row>
    <x:row r="5">
      <x:c r="A5" s="26" t="str">
        <x:f>Dashboard!A8</x:f>
        <x:v>Human_Dumbassery</x:v>
      </x:c>
      <x:c r="B5" s="40" t="n">
        <x:f>Dashboard!B8</x:f>
        <x:v>9.6</x:v>
      </x:c>
      <x:c r="C5" s="40" t="n">
        <x:f>Dashboard!C8</x:f>
        <x:v>6.05</x:v>
      </x:c>
      <x:c r="D5" s="26" t="n">
        <x:f>Dashboard!D8</x:f>
        <x:v>0</x:v>
      </x:c>
      <x:c r="E5" s="26" t="str">
        <x:f>Dashboard!E8</x:f>
        <x:v>HIGH / HARDEN</x:v>
      </x:c>
      <x:c r="F5" s="26" t="str">
        <x:f>Dashboard!F8</x:f>
        <x:v>Human_Dumbassery</x:v>
      </x:c>
      <x:c r="G5" s="26"/>
      <x:c r="H5" s="26"/>
    </x:row>
    <x:row r="6">
      <x:c r="A6" s="26" t="str">
        <x:f>Dashboard!A9</x:f>
        <x:v>Machine_Agency</x:v>
      </x:c>
      <x:c r="B6" s="40" t="n">
        <x:f>Dashboard!B9</x:f>
        <x:v>11.6</x:v>
      </x:c>
      <x:c r="C6" s="40" t="n">
        <x:f>Dashboard!C9</x:f>
        <x:v>9.5</x:v>
      </x:c>
      <x:c r="D6" s="26" t="n">
        <x:f>Dashboard!D9</x:f>
        <x:v>2</x:v>
      </x:c>
      <x:c r="E6" s="26" t="str">
        <x:f>Dashboard!E9</x:f>
        <x:v>REVIEW UNKNOWN</x:v>
      </x:c>
      <x:c r="F6" s="26" t="str">
        <x:f>Dashboard!F9</x:f>
        <x:v>Machine_Agency</x:v>
      </x:c>
      <x:c r="G6" s="26"/>
      <x:c r="H6" s="26"/>
    </x:row>
    <x:row r="7">
      <x:c r="A7" s="26" t="str">
        <x:f>Dashboard!A10</x:f>
        <x:v>Cyber_Containment</x:v>
      </x:c>
      <x:c r="B7" s="40" t="n">
        <x:f>Dashboard!B10</x:f>
        <x:v>11.6</x:v>
      </x:c>
      <x:c r="C7" s="40" t="n">
        <x:f>Dashboard!C10</x:f>
        <x:v>10.533333333333333</x:v>
      </x:c>
      <x:c r="D7" s="26" t="n">
        <x:f>Dashboard!D10</x:f>
        <x:v>4</x:v>
      </x:c>
      <x:c r="E7" s="26" t="str">
        <x:f>Dashboard!E10</x:f>
        <x:v>REVIEW UNKNOWN</x:v>
      </x:c>
      <x:c r="F7" s="26" t="str">
        <x:f>Dashboard!F10</x:f>
        <x:v>Cyber_Containment</x:v>
      </x:c>
      <x:c r="G7" s="26"/>
      <x:c r="H7" s="26"/>
    </x:row>
    <x:row r="8">
      <x:c r="A8" s="26" t="str">
        <x:f>Dashboard!A11</x:f>
        <x:v>Supply_Chain</x:v>
      </x:c>
      <x:c r="B8" s="40" t="n">
        <x:f>Dashboard!B11</x:f>
        <x:v>11.6</x:v>
      </x:c>
      <x:c r="C8" s="40" t="n">
        <x:f>Dashboard!C11</x:f>
        <x:v>9.8</x:v>
      </x:c>
      <x:c r="D8" s="26" t="n">
        <x:f>Dashboard!D11</x:f>
        <x:v>3</x:v>
      </x:c>
      <x:c r="E8" s="26" t="str">
        <x:f>Dashboard!E11</x:f>
        <x:v>REVIEW UNKNOWN</x:v>
      </x:c>
      <x:c r="F8" s="26" t="str">
        <x:f>Dashboard!F11</x:f>
        <x:v>Supply_Chain</x:v>
      </x:c>
      <x:c r="G8" s="26"/>
      <x:c r="H8" s="26"/>
    </x:row>
    <x:row r="9">
      <x:c r="A9" s="26" t="str">
        <x:f>Dashboard!A12</x:f>
        <x:v>Model_Pipeline</x:v>
      </x:c>
      <x:c r="B9" s="40" t="n">
        <x:f>Dashboard!B12</x:f>
        <x:v>11.6</x:v>
      </x:c>
      <x:c r="C9" s="40" t="n">
        <x:f>Dashboard!C12</x:f>
        <x:v>10.4</x:v>
      </x:c>
      <x:c r="D9" s="26" t="n">
        <x:f>Dashboard!D12</x:f>
        <x:v>4</x:v>
      </x:c>
      <x:c r="E9" s="26" t="str">
        <x:f>Dashboard!E12</x:f>
        <x:v>REVIEW UNKNOWN</x:v>
      </x:c>
      <x:c r="F9" s="26" t="str">
        <x:f>Dashboard!F12</x:f>
        <x:v>Model_Pipeline</x:v>
      </x:c>
      <x:c r="G9" s="26"/>
      <x:c r="H9" s="26"/>
    </x:row>
    <x:row r="10">
      <x:c r="A10" s="26" t="str">
        <x:f>Dashboard!A13</x:f>
        <x:v>Lab_Automation</x:v>
      </x:c>
      <x:c r="B10" s="40" t="n">
        <x:f>Dashboard!B13</x:f>
        <x:v>14</x:v>
      </x:c>
      <x:c r="C10" s="40" t="n">
        <x:f>Dashboard!C13</x:f>
        <x:v>11.266666666666666</x:v>
      </x:c>
      <x:c r="D10" s="26" t="n">
        <x:f>Dashboard!D13</x:f>
        <x:v>5</x:v>
      </x:c>
      <x:c r="E10" s="26" t="str">
        <x:f>Dashboard!E13</x:f>
        <x:v>REVIEW UNKNOWN</x:v>
      </x:c>
      <x:c r="F10" s="26" t="str">
        <x:f>Dashboard!F13</x:f>
        <x:v>Lab_Automation</x:v>
      </x:c>
      <x:c r="G10" s="26"/>
      <x:c r="H10" s="26"/>
    </x:row>
    <x:row r="11">
      <x:c r="A11" s="26" t="str">
        <x:f>Dashboard!A14</x:f>
        <x:v>Governance_Response</x:v>
      </x:c>
      <x:c r="B11" s="40" t="n">
        <x:f>Dashboard!B14</x:f>
        <x:v>11.6</x:v>
      </x:c>
      <x:c r="C11" s="40" t="n">
        <x:f>Dashboard!C14</x:f>
        <x:v>9.28</x:v>
      </x:c>
      <x:c r="D11" s="26" t="n">
        <x:f>Dashboard!D14</x:f>
        <x:v>2</x:v>
      </x:c>
      <x:c r="E11" s="26" t="str">
        <x:f>Dashboard!E14</x:f>
        <x:v>REVIEW UNKNOWN</x:v>
      </x:c>
      <x:c r="F11" s="26" t="str">
        <x:f>Dashboard!F14</x:f>
        <x:v>Governance_Response</x:v>
      </x:c>
      <x:c r="G11" s="26"/>
      <x:c r="H11" s="26"/>
    </x:row>
    <x:row r="12">
      <x:c r="A12" s="26" t="str">
        <x:f>Dashboard!A15</x:f>
        <x:v>BSL_Physical</x:v>
      </x:c>
      <x:c r="B12" s="40" t="n">
        <x:f>Dashboard!B15</x:f>
        <x:v>11.6</x:v>
      </x:c>
      <x:c r="C12" s="40" t="n">
        <x:f>Dashboard!C15</x:f>
        <x:v>7.919999999999999</x:v>
      </x:c>
      <x:c r="D12" s="26" t="n">
        <x:f>Dashboard!D15</x:f>
        <x:v>3</x:v>
      </x:c>
      <x:c r="E12" s="26" t="str">
        <x:f>Dashboard!E15</x:f>
        <x:v>REVIEW UNKNOWN</x:v>
      </x:c>
      <x:c r="F12" s="26" t="str">
        <x:f>Dashboard!F15</x:f>
        <x:v>BSL_Physical</x:v>
      </x:c>
      <x:c r="G12" s="26"/>
      <x:c r="H12" s="26"/>
    </x:row>
    <x:row r="13">
      <x:c r="A13" s="26" t="str">
        <x:f>Dashboard!A16</x:f>
        <x:v>CPX</x:v>
      </x:c>
      <x:c r="B13" s="40" t="n">
        <x:f>Dashboard!B16</x:f>
        <x:v>12</x:v>
      </x:c>
      <x:c r="C13" s="40" t="n">
        <x:f>Dashboard!C16</x:f>
        <x:v>12</x:v>
      </x:c>
      <x:c r="D13" s="26" t="n">
        <x:f>Dashboard!D16</x:f>
        <x:v>2</x:v>
      </x:c>
      <x:c r="E13" s="26" t="str">
        <x:f>Dashboard!E16</x:f>
        <x:v>REVIEW UNKNOWN</x:v>
      </x:c>
      <x:c r="F13" s="26" t="str">
        <x:f>Dashboard!F16</x:f>
        <x:v>CPX</x:v>
      </x:c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 t="str"/>
      <x:c r="B16" s="26" t="str"/>
      <x:c r="C16" s="26" t="str"/>
      <x:c r="D16" s="26" t="str"/>
      <x:c r="E16" s="26" t="str"/>
      <x:c r="F16" s="26" t="str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43" t="str">
        <x:v>Link ID</x:v>
      </x:c>
      <x:c r="B18" s="43" t="str">
        <x:v>Domain A</x:v>
      </x:c>
      <x:c r="C18" s="43" t="str">
        <x:v>Domain B</x:v>
      </x:c>
      <x:c r="D18" s="43" t="str">
        <x:v>Mechanism</x:v>
      </x:c>
      <x:c r="E18" s="43" t="str">
        <x:v>Compound score</x:v>
      </x:c>
      <x:c r="F18" s="43" t="str">
        <x:v>Decision</x:v>
      </x:c>
      <x:c r="G18" s="43" t="str">
        <x:v>Required break</x:v>
      </x:c>
      <x:c r="H18" s="43" t="str">
        <x:v>Evidence class</x:v>
      </x:c>
    </x:row>
    <x:row r="19">
      <x:c r="A19" s="26" t="str">
        <x:f>Cross_Reference!A8</x:f>
        <x:v>X-01</x:v>
      </x:c>
      <x:c r="B19" s="26" t="str">
        <x:f>Cross_Reference!B8</x:f>
        <x:v>Human_Dumbassery</x:v>
      </x:c>
      <x:c r="C19" s="26" t="str">
        <x:f>Cross_Reference!C8</x:f>
        <x:v>Cyber_Containment</x:v>
      </x:c>
      <x:c r="D19" s="26" t="str">
        <x:f>Cross_Reference!D8</x:f>
        <x:v>Misconfiguration or incorrect isolation assumption creates machine-reachable egress</x:v>
      </x:c>
      <x:c r="E19" s="40" t="n">
        <x:f>Cross_Reference!K8</x:f>
        <x:v>15.899999999999999</x:v>
      </x:c>
      <x:c r="F19" s="26" t="str">
        <x:f>Cross_Reference!L8</x:f>
        <x:v>STOP / RED</x:v>
      </x:c>
      <x:c r="G19" s="26" t="str">
        <x:f>Cross_Reference!M8</x:f>
        <x:v>Hardware-enforced boundary + independent verification</x:v>
      </x:c>
      <x:c r="H19" s="26" t="str">
        <x:f>Cross_Reference!H8</x:f>
        <x:v>DOCUMENTED</x:v>
      </x:c>
    </x:row>
    <x:row r="20">
      <x:c r="A20" s="26" t="str">
        <x:f>Cross_Reference!A9</x:f>
        <x:v>X-02</x:v>
      </x:c>
      <x:c r="B20" s="26" t="str">
        <x:f>Cross_Reference!B9</x:f>
        <x:v>Human_Dumbassery</x:v>
      </x:c>
      <x:c r="C20" s="26" t="str">
        <x:f>Cross_Reference!C9</x:f>
        <x:v>Governance_Response</x:v>
      </x:c>
      <x:c r="D20" s="26" t="str">
        <x:f>Cross_Reference!D9</x:f>
        <x:v>Reporting delay allows a technical incident to mature before external response</x:v>
      </x:c>
      <x:c r="E20" s="40" t="n">
        <x:f>Cross_Reference!K9</x:f>
        <x:v>15.899999999999999</x:v>
      </x:c>
      <x:c r="F20" s="26" t="str">
        <x:f>Cross_Reference!L9</x:f>
        <x:v>STOP / RED</x:v>
      </x:c>
      <x:c r="G20" s="26" t="str">
        <x:f>Cross_Reference!M9</x:f>
        <x:v>Pre-authorised external notification trigger</x:v>
      </x:c>
      <x:c r="H20" s="26" t="str">
        <x:f>Cross_Reference!H9</x:f>
        <x:v>SUPPORTED</x:v>
      </x:c>
    </x:row>
    <x:row r="21">
      <x:c r="A21" s="26" t="str">
        <x:f>Cross_Reference!A10</x:f>
        <x:v>X-03</x:v>
      </x:c>
      <x:c r="B21" s="26" t="str">
        <x:f>Cross_Reference!B10</x:f>
        <x:v>Machine_Agency</x:v>
      </x:c>
      <x:c r="C21" s="26" t="str">
        <x:f>Cross_Reference!C10</x:f>
        <x:v>Cyber_Containment</x:v>
      </x:c>
      <x:c r="D21" s="26" t="str">
        <x:f>Cross_Reference!D10</x:f>
        <x:v>Autonomous exploitation converts a weak boundary into active escape</x:v>
      </x:c>
      <x:c r="E21" s="40" t="n">
        <x:f>Cross_Reference!K10</x:f>
        <x:v>17.4</x:v>
      </x:c>
      <x:c r="F21" s="26" t="str">
        <x:f>Cross_Reference!L10</x:f>
        <x:v>STOP / RED</x:v>
      </x:c>
      <x:c r="G21" s="26" t="str">
        <x:f>Cross_Reference!M10</x:f>
        <x:v>Assume sandbox breach; contain outside the sandbox</x:v>
      </x:c>
      <x:c r="H21" s="26" t="str">
        <x:f>Cross_Reference!H10</x:f>
        <x:v>DOCUMENTED</x:v>
      </x:c>
    </x:row>
    <x:row r="22">
      <x:c r="A22" s="26" t="str">
        <x:f>Cross_Reference!A11</x:f>
        <x:v>X-04</x:v>
      </x:c>
      <x:c r="B22" s="26" t="str">
        <x:f>Cross_Reference!B11</x:f>
        <x:v>Machine_Agency</x:v>
      </x:c>
      <x:c r="C22" s="26" t="str">
        <x:f>Cross_Reference!C11</x:f>
        <x:v>Supply_Chain</x:v>
      </x:c>
      <x:c r="D22" s="26" t="str">
        <x:f>Cross_Reference!D11</x:f>
        <x:v>Agent-created artifacts propagate beyond the originating environment</x:v>
      </x:c>
      <x:c r="E22" s="40" t="n">
        <x:f>Cross_Reference!K11</x:f>
        <x:v>17.4</x:v>
      </x:c>
      <x:c r="F22" s="26" t="str">
        <x:f>Cross_Reference!L11</x:f>
        <x:v>STOP / RED</x:v>
      </x:c>
      <x:c r="G22" s="26" t="str">
        <x:f>Cross_Reference!M11</x:f>
        <x:v>No external artifact publication from high-risk environments</x:v>
      </x:c>
      <x:c r="H22" s="26" t="str">
        <x:f>Cross_Reference!H11</x:f>
        <x:v>DOCUMENTED</x:v>
      </x:c>
    </x:row>
    <x:row r="23">
      <x:c r="A23" s="26" t="str">
        <x:f>Cross_Reference!A12</x:f>
        <x:v>X-05</x:v>
      </x:c>
      <x:c r="B23" s="26" t="str">
        <x:f>Cross_Reference!B12</x:f>
        <x:v>Machine_Agency</x:v>
      </x:c>
      <x:c r="C23" s="26" t="str">
        <x:f>Cross_Reference!C12</x:f>
        <x:v>Model_Pipeline</x:v>
      </x:c>
      <x:c r="D23" s="26" t="str">
        <x:f>Cross_Reference!D12</x:f>
        <x:v>Autonomous write authority contaminates development/evaluation state</x:v>
      </x:c>
      <x:c r="E23" s="40" t="n">
        <x:f>Cross_Reference!K12</x:f>
        <x:v>19.4</x:v>
      </x:c>
      <x:c r="F23" s="26" t="str">
        <x:f>Cross_Reference!L12</x:f>
        <x:v>REVIEW UNKNOWN</x:v>
      </x:c>
      <x:c r="G23" s="26" t="str">
        <x:f>Cross_Reference!M12</x:f>
        <x:v>Independent signed promotion authority</x:v>
      </x:c>
      <x:c r="H23" s="26" t="str">
        <x:f>Cross_Reference!H12</x:f>
        <x:v>PLAUSIBLE</x:v>
      </x:c>
    </x:row>
    <x:row r="24">
      <x:c r="A24" s="26" t="str">
        <x:f>Cross_Reference!A13</x:f>
        <x:v>X-06</x:v>
      </x:c>
      <x:c r="B24" s="26" t="str">
        <x:f>Cross_Reference!B13</x:f>
        <x:v>Cyber_Containment</x:v>
      </x:c>
      <x:c r="C24" s="26" t="str">
        <x:f>Cross_Reference!C13</x:f>
        <x:v>Supply_Chain</x:v>
      </x:c>
      <x:c r="D24" s="26" t="str">
        <x:f>Cross_Reference!D13</x:f>
        <x:v>An escape reaches registries, artifact stores, or dependency infrastructure</x:v>
      </x:c>
      <x:c r="E24" s="40" t="n">
        <x:f>Cross_Reference!K13</x:f>
        <x:v>17.4</x:v>
      </x:c>
      <x:c r="F24" s="26" t="str">
        <x:f>Cross_Reference!L13</x:f>
        <x:v>STOP / RED</x:v>
      </x:c>
      <x:c r="G24" s="26" t="str">
        <x:f>Cross_Reference!M13</x:f>
        <x:v>Offline allow-listed registry boundary</x:v>
      </x:c>
      <x:c r="H24" s="26" t="str">
        <x:f>Cross_Reference!H13</x:f>
        <x:v>SUPPORTED</x:v>
      </x:c>
    </x:row>
    <x:row r="25">
      <x:c r="A25" s="26" t="str">
        <x:f>Cross_Reference!A14</x:f>
        <x:v>X-07</x:v>
      </x:c>
      <x:c r="B25" s="26" t="str">
        <x:f>Cross_Reference!B14</x:f>
        <x:v>Supply_Chain</x:v>
      </x:c>
      <x:c r="C25" s="26" t="str">
        <x:f>Cross_Reference!C14</x:f>
        <x:v>Model_Pipeline</x:v>
      </x:c>
      <x:c r="D25" s="26" t="str">
        <x:f>Cross_Reference!D14</x:f>
        <x:v>Compromised dependencies or artifacts enter AI development lineage</x:v>
      </x:c>
      <x:c r="E25" s="40" t="n">
        <x:f>Cross_Reference!K14</x:f>
        <x:v>19.4</x:v>
      </x:c>
      <x:c r="F25" s="26" t="str">
        <x:f>Cross_Reference!L14</x:f>
        <x:v>REVIEW UNKNOWN</x:v>
      </x:c>
      <x:c r="G25" s="26" t="str">
        <x:f>Cross_Reference!M14</x:f>
        <x:v>Provenance verification before model-development use</x:v>
      </x:c>
      <x:c r="H25" s="26" t="str">
        <x:f>Cross_Reference!H14</x:f>
        <x:v>PLAUSIBLE</x:v>
      </x:c>
    </x:row>
    <x:row r="26">
      <x:c r="A26" s="26" t="str">
        <x:f>Cross_Reference!A15</x:f>
        <x:v>X-08</x:v>
      </x:c>
      <x:c r="B26" s="26" t="str">
        <x:f>Cross_Reference!B15</x:f>
        <x:v>Model_Pipeline</x:v>
      </x:c>
      <x:c r="C26" s="26" t="str">
        <x:f>Cross_Reference!C15</x:f>
        <x:v>Lab_Automation</x:v>
      </x:c>
      <x:c r="D26" s="26" t="str">
        <x:f>Cross_Reference!D15</x:f>
        <x:v>Compromised model/control artifact is trusted by cyber-physical orchestration</x:v>
      </x:c>
      <x:c r="E26" s="40" t="n">
        <x:f>Cross_Reference!K15</x:f>
        <x:v>21.200000000000003</x:v>
      </x:c>
      <x:c r="F26" s="26" t="str">
        <x:f>Cross_Reference!L15</x:f>
        <x:v>REVIEW UNKNOWN</x:v>
      </x:c>
      <x:c r="G26" s="26" t="str">
        <x:f>Cross_Reference!M15</x:f>
        <x:v>Independent model verification + deterministic hardware interlock</x:v>
      </x:c>
      <x:c r="H26" s="26" t="str">
        <x:f>Cross_Reference!H15</x:f>
        <x:v>PLAUSIBLE</x:v>
      </x:c>
    </x:row>
    <x:row r="27">
      <x:c r="A27" s="26" t="str">
        <x:f>Cross_Reference!A16</x:f>
        <x:v>X-09</x:v>
      </x:c>
      <x:c r="B27" s="26" t="str">
        <x:f>Cross_Reference!B16</x:f>
        <x:v>CPX</x:v>
      </x:c>
      <x:c r="C27" s="26" t="str">
        <x:f>Cross_Reference!C16</x:f>
        <x:v>Lab_Automation</x:v>
      </x:c>
      <x:c r="D27" s="26" t="str">
        <x:f>Cross_Reference!D16</x:f>
        <x:v>Digital authority reaches physical scientific actuators</x:v>
      </x:c>
      <x:c r="E27" s="40" t="n">
        <x:f>Cross_Reference!K16</x:f>
        <x:v>19.5</x:v>
      </x:c>
      <x:c r="F27" s="26" t="str">
        <x:f>Cross_Reference!L16</x:f>
        <x:v>STOP / RED</x:v>
      </x:c>
      <x:c r="G27" s="26" t="str">
        <x:f>Cross_Reference!M16</x:f>
        <x:v>Keep AI advisory; terminate authority at deterministic interlock</x:v>
      </x:c>
      <x:c r="H27" s="26" t="str">
        <x:f>Cross_Reference!H16</x:f>
        <x:v>SUPPORTED</x:v>
      </x:c>
    </x:row>
    <x:row r="28">
      <x:c r="A28" s="26" t="str">
        <x:f>Cross_Reference!A17</x:f>
        <x:v>X-10</x:v>
      </x:c>
      <x:c r="B28" s="26" t="str">
        <x:f>Cross_Reference!B17</x:f>
        <x:v>BSL_Physical</x:v>
      </x:c>
      <x:c r="C28" s="26" t="str">
        <x:f>Cross_Reference!C17</x:f>
        <x:v>Lab_Automation</x:v>
      </x:c>
      <x:c r="D28" s="26" t="str">
        <x:f>Cross_Reference!D17</x:f>
        <x:v>Physical containment depends on software-controlled recovery or actuation</x:v>
      </x:c>
      <x:c r="E28" s="40" t="n">
        <x:f>Cross_Reference!K17</x:f>
        <x:v>16.400000000000002</x:v>
      </x:c>
      <x:c r="F28" s="26" t="str">
        <x:f>Cross_Reference!L17</x:f>
        <x:v>REVIEW UNKNOWN</x:v>
      </x:c>
      <x:c r="G28" s="26" t="str">
        <x:f>Cross_Reference!M17</x:f>
        <x:v>Independent physical fail-safe path</x:v>
      </x:c>
      <x:c r="H28" s="26" t="str">
        <x:f>Cross_Reference!H17</x:f>
        <x:v>SUPPORTED</x:v>
      </x:c>
    </x:row>
    <x:row r="29">
      <x:c r="A29" s="26" t="str">
        <x:f>Cross_Reference!A18</x:f>
        <x:v>X-11</x:v>
      </x:c>
      <x:c r="B29" s="26" t="str">
        <x:f>Cross_Reference!B18</x:f>
        <x:v>Governance_Response</x:v>
      </x:c>
      <x:c r="C29" s="26" t="str">
        <x:f>Cross_Reference!C18</x:f>
        <x:v>BSL_Physical</x:v>
      </x:c>
      <x:c r="D29" s="26" t="str">
        <x:f>Cross_Reference!D18</x:f>
        <x:v>Delayed acknowledgement or stop order increases duration of physical exposure</x:v>
      </x:c>
      <x:c r="E29" s="40" t="n">
        <x:f>Cross_Reference!K18</x:f>
        <x:v>15.049999999999999</x:v>
      </x:c>
      <x:c r="F29" s="26" t="str">
        <x:f>Cross_Reference!L18</x:f>
        <x:v>REVIEW UNKNOWN</x:v>
      </x:c>
      <x:c r="G29" s="26" t="str">
        <x:f>Cross_Reference!M18</x:f>
        <x:v>Automatic pre-authorised containment escalation</x:v>
      </x:c>
      <x:c r="H29" s="26" t="str">
        <x:f>Cross_Reference!H18</x:f>
        <x:v>SUPPORTED</x:v>
      </x:c>
    </x:row>
    <x:row r="30">
      <x:c r="A30" s="26" t="str">
        <x:f>Cross_Reference!A19</x:f>
        <x:v>X-12</x:v>
      </x:c>
      <x:c r="B30" s="26" t="str">
        <x:f>Cross_Reference!B19</x:f>
        <x:v>CPX</x:v>
      </x:c>
      <x:c r="C30" s="26" t="str">
        <x:f>Cross_Reference!C19</x:f>
        <x:v>Machine_Agency</x:v>
      </x:c>
      <x:c r="D30" s="26" t="str">
        <x:f>Cross_Reference!D19</x:f>
        <x:v>Autonomous write/internet/shared-trust authority amplifies machine persistence and reach</x:v>
      </x:c>
      <x:c r="E30" s="40" t="n">
        <x:f>Cross_Reference!K19</x:f>
        <x:v>17.700000000000003</x:v>
      </x:c>
      <x:c r="F30" s="26" t="str">
        <x:f>Cross_Reference!L19</x:f>
        <x:v>STOP / RED</x:v>
      </x:c>
      <x:c r="G30" s="26" t="str">
        <x:f>Cross_Reference!M19</x:f>
        <x:v>Remove CPX-4 conditions before high-consequence work</x:v>
      </x:c>
      <x:c r="H30" s="26" t="str">
        <x:f>Cross_Reference!H19</x:f>
        <x:v>SUPPORTED</x:v>
      </x:c>
    </x:row>
    <x:row r="31">
      <x:c r="A31" s="26" t="str">
        <x:f>Cross_Reference!A20</x:f>
        <x:v>X-13</x:v>
      </x:c>
      <x:c r="B31" s="26" t="str">
        <x:f>Cross_Reference!B20</x:f>
        <x:v>Cyber_Containment</x:v>
      </x:c>
      <x:c r="C31" s="26" t="str">
        <x:f>Cross_Reference!C20</x:f>
        <x:v>CPX</x:v>
      </x:c>
      <x:c r="D31" s="26" t="str">
        <x:f>Cross_Reference!D20</x:f>
        <x:v>Shared digital trust defeats nominally separate control layers</x:v>
      </x:c>
      <x:c r="E31" s="40" t="n">
        <x:f>Cross_Reference!K20</x:f>
        <x:v>19.700000000000003</x:v>
      </x:c>
      <x:c r="F31" s="26" t="str">
        <x:f>Cross_Reference!L20</x:f>
        <x:v>REVIEW UNKNOWN</x:v>
      </x:c>
      <x:c r="G31" s="26" t="str">
        <x:f>Cross_Reference!M20</x:f>
        <x:v>Independent identity, storage, network, and safety roots</x:v>
      </x:c>
      <x:c r="H31" s="26" t="str">
        <x:f>Cross_Reference!H20</x:f>
        <x:v>SUPPORTED</x:v>
      </x:c>
    </x:row>
  </x:sheetData>
  <x:mergeCells>
    <x:mergeCell ref="A1:J1"/>
    <x:mergeCell ref="A2:J2"/>
  </x:mergeCells>
  <x:pageMargins left="0.7" right="0.7" top="0.75" bottom="0.75" header="0.3" footer="0.3"/>
</x:worksheet>
</file>