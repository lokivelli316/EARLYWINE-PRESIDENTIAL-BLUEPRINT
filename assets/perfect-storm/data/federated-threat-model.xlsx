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d8b15bbc3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4ade9b18fd804f27"/>
    <x:sheet xmlns:r="http://schemas.openxmlformats.org/officeDocument/2006/relationships" name="Evidence_Register" sheetId="2" r:id="R07a5c6ec21644a5d"/>
    <x:sheet xmlns:r="http://schemas.openxmlformats.org/officeDocument/2006/relationships" name="Tier_Definitions" sheetId="3" r:id="R3fbbf9ed11304b42"/>
    <x:sheet xmlns:r="http://schemas.openxmlformats.org/officeDocument/2006/relationships" name="Human_Dumbassery" sheetId="4" r:id="Rd7ae9c826c5e456d"/>
    <x:sheet xmlns:r="http://schemas.openxmlformats.org/officeDocument/2006/relationships" name="Machine_Agency" sheetId="5" r:id="R7031e73a5ad04161"/>
    <x:sheet xmlns:r="http://schemas.openxmlformats.org/officeDocument/2006/relationships" name="Cyber_Containment" sheetId="6" r:id="Rce85a825d1bd467b"/>
    <x:sheet xmlns:r="http://schemas.openxmlformats.org/officeDocument/2006/relationships" name="Bio_Control_Plane" sheetId="7" r:id="R1d0a39b49b534683"/>
    <x:sheet xmlns:r="http://schemas.openxmlformats.org/officeDocument/2006/relationships" name="Lab_Automation" sheetId="8" r:id="R430bc220a27a4315"/>
    <x:sheet xmlns:r="http://schemas.openxmlformats.org/officeDocument/2006/relationships" name="Supply_Chain" sheetId="9" r:id="R420aec1f0fd74772"/>
    <x:sheet xmlns:r="http://schemas.openxmlformats.org/officeDocument/2006/relationships" name="Governance" sheetId="10" r:id="R1d63c97b9fe542ab"/>
    <x:sheet xmlns:r="http://schemas.openxmlformats.org/officeDocument/2006/relationships" name="Cross_Domain_Crosswalk" sheetId="11" r:id="R21fe21b78dfd4333"/>
    <x:sheet xmlns:r="http://schemas.openxmlformats.org/officeDocument/2006/relationships" name="Scenario_Builder" sheetId="12" r:id="Rb88a964c14d04a46"/>
    <x:sheet xmlns:r="http://schemas.openxmlformats.org/officeDocument/2006/relationships" name="Dashboard" sheetId="13" r:id="R18285c05e967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0B0B0B"/>
      <x:name val="Arial"/>
    </x:font>
    <x:font>
      <x:b/>
      <x:sz val="10"/>
      <x:color rgb="FFF7F7F5"/>
      <x:name val="Arial"/>
    </x:font>
    <x:font>
      <x:b/>
      <x:sz val="18"/>
      <x:color rgb="FFF28C28"/>
      <x:name val="Arial"/>
    </x:font>
    <x:font>
      <x:b/>
      <x:sz val="10"/>
      <x:color rgb="FFF28C28"/>
      <x:name val="Arial"/>
    </x:font>
    <x:font>
      <x:b/>
      <x:sz val="10"/>
      <x:color rgb="FFD93636"/>
      <x:name val="Arial"/>
    </x:font>
    <x:font>
      <x:b/>
      <x:sz val="12"/>
      <x:color rgb="FFD9363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262626"/>
      </x:patternFill>
    </x:fill>
    <x:fill>
      <x:patternFill patternType="solid">
        <x:fgColor rgb="FFF7F7F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  <x:dxf>
      <x:font>
        <x:b/>
        <x:color rgb="FFF7F7F5"/>
      </x:font>
      <x:fill>
        <x:patternFill patternType="solid">
          <x:bgColor rgb="FFD93636"/>
        </x:patternFill>
      </x:fill>
    </x:dxf>
    <x:dxf>
      <x:font>
        <x:b/>
        <x:color rgb="FF0B0B0B"/>
      </x:font>
      <x:fill>
        <x:patternFill patternType="solid">
          <x:bgColor rgb="FFF28C28"/>
        </x:patternFill>
      </x:fill>
    </x:dxf>
    <x:dxf>
      <x:font>
        <x:b/>
        <x:color rgb="FF0B0B0B"/>
      </x:font>
      <x:fill>
        <x:patternFill patternType="solid">
          <x:bgColor rgb="FFF4D35E"/>
        </x:patternFill>
      </x:fill>
    </x:dxf>
    <x:dxf>
      <x:font>
        <x:b/>
        <x:color rgb="FF0B0B0B"/>
      </x:font>
      <x:fill>
        <x:patternFill patternType="solid">
          <x:bgColor rgb="FFB7E4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4aae224ee40a1" /><Relationship Type="http://schemas.openxmlformats.org/officeDocument/2006/relationships/theme" Target="/xl/theme/theme1.xml" Id="R37640ca0e0874739" /><Relationship Type="http://schemas.openxmlformats.org/officeDocument/2006/relationships/sharedStrings" Target="/xl/sharedStrings.xml" Id="Rba55ef98e2884029" /><Relationship Type="http://schemas.openxmlformats.org/officeDocument/2006/relationships/worksheet" Target="/xl/worksheets/sheet1.xml" Id="R4ade9b18fd804f27" /><Relationship Type="http://schemas.openxmlformats.org/officeDocument/2006/relationships/worksheet" Target="/xl/worksheets/sheet2.xml" Id="R07a5c6ec21644a5d" /><Relationship Type="http://schemas.openxmlformats.org/officeDocument/2006/relationships/worksheet" Target="/xl/worksheets/sheet3.xml" Id="R3fbbf9ed11304b42" /><Relationship Type="http://schemas.openxmlformats.org/officeDocument/2006/relationships/worksheet" Target="/xl/worksheets/sheet4.xml" Id="Rd7ae9c826c5e456d" /><Relationship Type="http://schemas.openxmlformats.org/officeDocument/2006/relationships/worksheet" Target="/xl/worksheets/sheet5.xml" Id="R7031e73a5ad04161" /><Relationship Type="http://schemas.openxmlformats.org/officeDocument/2006/relationships/worksheet" Target="/xl/worksheets/sheet6.xml" Id="Rce85a825d1bd467b" /><Relationship Type="http://schemas.openxmlformats.org/officeDocument/2006/relationships/worksheet" Target="/xl/worksheets/sheet7.xml" Id="R1d0a39b49b534683" /><Relationship Type="http://schemas.openxmlformats.org/officeDocument/2006/relationships/worksheet" Target="/xl/worksheets/sheet8.xml" Id="R430bc220a27a4315" /><Relationship Type="http://schemas.openxmlformats.org/officeDocument/2006/relationships/worksheet" Target="/xl/worksheets/sheet9.xml" Id="R420aec1f0fd74772" /><Relationship Type="http://schemas.openxmlformats.org/officeDocument/2006/relationships/worksheet" Target="/xl/worksheets/sheet10.xml" Id="R1d63c97b9fe542ab" /><Relationship Type="http://schemas.openxmlformats.org/officeDocument/2006/relationships/worksheet" Target="/xl/worksheets/sheet11.xml" Id="R21fe21b78dfd4333" /><Relationship Type="http://schemas.openxmlformats.org/officeDocument/2006/relationships/worksheet" Target="/xl/worksheets/sheet12.xml" Id="Rb88a964c14d04a46" /><Relationship Type="http://schemas.openxmlformats.org/officeDocument/2006/relationships/worksheet" Target="/xl/worksheets/sheet13.xml" Id="R18285c05e96742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45cb1b05964f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High-priority hazards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Hazards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'Dashboard'!$E$4:$E$10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Red/Orange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'Dashboard'!$F$4:$F$10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45cb1b05964f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Table" displayName="EvidenceTable" ref="A1:F13" headerRowCount="1" totalsRowCount="0" totalsRowShown="0">
  <x:tableColumns count="6">
    <x:tableColumn id="1" name="ID"/>
    <x:tableColumn id="2" name="Source"/>
    <x:tableColumn id="3" name="Date"/>
    <x:tableColumn id="4" name="Class"/>
    <x:tableColumn id="5" name="Supports"/>
    <x:tableColumn id="6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manDumbasseryTable" displayName="HumanDumbasseryTable" ref="A1:N6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AgencyTable" displayName="MachineAgencyTable" ref="A1:N6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yberContainmentTable" displayName="CyberContainmentTable" ref="A1:N6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ioControlPlaneTable" displayName="BioControlPlaneTable" ref="A1:N6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bAutomationTable" displayName="LabAutomationTable" ref="A1:N5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lyChainTable" displayName="SupplyChainTable" ref="A1:N5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overnanceTable" displayName="GovernanceTable" ref="A1:N5" headerRowCount="1" totalsRowCount="0" totalsRowShown="0">
  <x:tableColumns count="14">
    <x:tableColumn id="1" name="Hazard ID"/>
    <x:tableColumn id="2" name="Hazard / failure mode"/>
    <x:tableColumn id="3" name="Evidence class"/>
    <x:tableColumn id="4" name="Evidence IDs"/>
    <x:tableColumn id="5" name="Consequence 0-5"/>
    <x:tableColumn id="6" name="Exposure 0-5"/>
    <x:tableColumn id="7" name="Agency 0-5"/>
    <x:tableColumn id="8" name="Common-mode 0-5"/>
    <x:tableColumn id="9" name="Human failure 0-5"/>
    <x:tableColumn id="10" name="Barrier strength 0-5"/>
    <x:tableColumn id="11" name="Score"/>
    <x:tableColumn id="12" name="Tier"/>
    <x:tableColumn id="13" name="Default decision"/>
    <x:tableColumn id="14" name="Required control / falsifi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osswalkTable" displayName="CrosswalkTable" ref="A1:H11" headerRowCount="1" totalsRowCount="0" totalsRowShown="0">
  <x:tableColumns count="8">
    <x:tableColumn id="1" name="Cross ID"/>
    <x:tableColumn id="2" name="Hazard A"/>
    <x:tableColumn id="3" name="Hazard B"/>
    <x:tableColumn id="4" name="Coupling 0-5"/>
    <x:tableColumn id="5" name="Why they couple"/>
    <x:tableColumn id="6" name="Independent barrier?"/>
    <x:tableColumn id="7" name="Escalation trigger"/>
    <x:tableColumn id="8" name="Evidence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073394816d41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f41b73440e742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f8a09fc40c43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124e1d174948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37734bb31ab4b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a9a9c3ef5f94f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26125ab72c548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79e081c005d4e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0da9fb97d443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b1d41408e913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60" hidden="0" customWidth="1"/>
    <x:col min="4" max="4" width="12" hidden="0" customWidth="1"/>
    <x:col min="6" max="6" width="18" hidden="0" customWidth="1"/>
    <x:col min="7" max="7" width="10" hidden="0" customWidth="1"/>
    <x:col min="9" max="9" width="18" hidden="0" customWidth="1"/>
    <x:col min="10" max="10" width="54" hidden="0" customWidth="1"/>
  </x:cols>
  <x:sheetData>
    <x:row r="1" ht="28" customHeight="1">
      <x:c r="A1" s="10" t="str">
        <x:v>THREAT MODEL PARAMETERS</x:v>
      </x:c>
      <x:c r="B1" s="10" t="str">
        <x:v>Value</x:v>
      </x:c>
      <x:c r="C1" s="10" t="str">
        <x:v>Meaning</x:v>
      </x:c>
      <x:c r="D1" s="10" t="str">
        <x:v>Editable?</x:v>
      </x:c>
      <x:c r="E1" s="10"/>
      <x:c r="F1" s="10" t="str">
        <x:v>Evidence Class</x:v>
      </x:c>
      <x:c r="G1" s="10" t="str">
        <x:v>Ordinal</x:v>
      </x:c>
      <x:c r="H1" s="10"/>
      <x:c r="I1" s="10" t="str">
        <x:v>Decision</x:v>
      </x:c>
      <x:c r="J1" s="10" t="str">
        <x:v>Meaning</x:v>
      </x:c>
      <x:c r="K1" s="10"/>
      <x:c r="L1" s="10"/>
      <x:c r="M1" s="10"/>
      <x:c r="N1" s="10"/>
    </x:row>
    <x:row r="2">
      <x:c r="A2" s="6" t="str">
        <x:v>Score_Red</x:v>
      </x:c>
      <x:c r="B2" s="6" t="n">
        <x:v>70</x:v>
      </x:c>
      <x:c r="C2" s="6" t="str">
        <x:v>Compound score at/above this is RED</x:v>
      </x:c>
      <x:c r="D2" s="6" t="str">
        <x:v>Yes</x:v>
      </x:c>
      <x:c r="E2" s="6"/>
      <x:c r="F2" s="6" t="str">
        <x:v>DOCUMENTED</x:v>
      </x:c>
      <x:c r="G2" s="6" t="n">
        <x:v>5</x:v>
      </x:c>
      <x:c r="H2" s="6"/>
      <x:c r="I2" s="6" t="str">
        <x:v>ALLOW</x:v>
      </x:c>
      <x:c r="J2" s="6" t="str">
        <x:v>Proceed under current controls</x:v>
      </x:c>
      <x:c r="K2" s="6"/>
      <x:c r="L2" s="6"/>
      <x:c r="M2" s="6"/>
      <x:c r="N2" s="6"/>
    </x:row>
    <x:row r="3">
      <x:c r="A3" s="6" t="str">
        <x:v>Score_Orange</x:v>
      </x:c>
      <x:c r="B3" s="6" t="n">
        <x:v>45</x:v>
      </x:c>
      <x:c r="C3" s="6" t="str">
        <x:v>Compound score at/above this is ORANGE</x:v>
      </x:c>
      <x:c r="D3" s="6" t="str">
        <x:v>Yes</x:v>
      </x:c>
      <x:c r="E3" s="6"/>
      <x:c r="F3" s="6" t="str">
        <x:v>SUPPORTED</x:v>
      </x:c>
      <x:c r="G3" s="6" t="n">
        <x:v>4</x:v>
      </x:c>
      <x:c r="H3" s="6"/>
      <x:c r="I3" s="6" t="str">
        <x:v>HOLD</x:v>
      </x:c>
      <x:c r="J3" s="6" t="str">
        <x:v>Do not proceed until named controls are added</x:v>
      </x:c>
      <x:c r="K3" s="6"/>
      <x:c r="L3" s="6"/>
      <x:c r="M3" s="6"/>
      <x:c r="N3" s="6"/>
    </x:row>
    <x:row r="4">
      <x:c r="A4" s="6" t="str">
        <x:v>Score_Yellow</x:v>
      </x:c>
      <x:c r="B4" s="6" t="n">
        <x:v>25</x:v>
      </x:c>
      <x:c r="C4" s="6" t="str">
        <x:v>Compound score at/above this is YELLOW</x:v>
      </x:c>
      <x:c r="D4" s="6" t="str">
        <x:v>Yes</x:v>
      </x:c>
      <x:c r="E4" s="6"/>
      <x:c r="F4" s="6" t="str">
        <x:v>INFERENCE</x:v>
      </x:c>
      <x:c r="G4" s="6" t="n">
        <x:v>3</x:v>
      </x:c>
      <x:c r="H4" s="6"/>
      <x:c r="I4" s="6" t="str">
        <x:v>ESCALATE</x:v>
      </x:c>
      <x:c r="J4" s="6" t="str">
        <x:v>Independent review / higher containment tier required</x:v>
      </x:c>
      <x:c r="K4" s="6"/>
      <x:c r="L4" s="6"/>
      <x:c r="M4" s="6"/>
      <x:c r="N4" s="6"/>
    </x:row>
    <x:row r="5">
      <x:c r="A5" s="6" t="str">
        <x:v>Max_Input</x:v>
      </x:c>
      <x:c r="B5" s="6" t="n">
        <x:v>5</x:v>
      </x:c>
      <x:c r="C5" s="6" t="str">
        <x:v>Maximum ordinal input for each factor</x:v>
      </x:c>
      <x:c r="D5" s="6" t="str">
        <x:v>No</x:v>
      </x:c>
      <x:c r="E5" s="6"/>
      <x:c r="F5" s="6" t="str">
        <x:v>PLAUSIBLE</x:v>
      </x:c>
      <x:c r="G5" s="6" t="n">
        <x:v>2</x:v>
      </x:c>
      <x:c r="H5" s="6"/>
      <x:c r="I5" s="6" t="str">
        <x:v>PROHIBIT</x:v>
      </x:c>
      <x:c r="J5" s="6" t="str">
        <x:v>Do not conduct under current architecture</x:v>
      </x:c>
      <x:c r="K5" s="6"/>
      <x:c r="L5" s="6"/>
      <x:c r="M5" s="6"/>
      <x:c r="N5" s="6"/>
    </x:row>
    <x:row r="6">
      <x:c r="A6" s="6" t="str">
        <x:v>Barrier_Offset</x:v>
      </x:c>
      <x:c r="B6" s="6" t="n">
        <x:v>1</x:v>
      </x:c>
      <x:c r="C6" s="6" t="str">
        <x:v>Prevents division by zero; stronger barriers reduce score</x:v>
      </x:c>
      <x:c r="D6" s="6" t="str">
        <x:v>No</x:v>
      </x:c>
      <x:c r="E6" s="6"/>
      <x:c r="F6" s="6" t="str">
        <x:v>UNKNOWN</x:v>
      </x:c>
      <x:c r="G6" s="6" t="n">
        <x:v>1</x:v>
      </x:c>
      <x:c r="H6" s="6"/>
      <x:c r="I6" s="6" t="str">
        <x:v>UNKNOWN</x:v>
      </x:c>
      <x:c r="J6" s="6" t="str">
        <x:v>Insufficient evidence; resolve before authorization</x:v>
      </x:c>
      <x:c r="K6" s="6"/>
      <x:c r="L6" s="6"/>
      <x:c r="M6" s="6"/>
      <x:c r="N6" s="6"/>
    </x:row>
    <x:row r="7">
      <x:c r="A7" s="6" t="str">
        <x:v>Coupling_Weight</x:v>
      </x:c>
      <x:c r="B7" s="6" t="n">
        <x:v>3</x:v>
      </x:c>
      <x:c r="C7" s="6" t="str">
        <x:v>Scenario bonus per cross-domain coupling point</x:v>
      </x:c>
      <x:c r="D7" s="6" t="str">
        <x:v>Yes</x:v>
      </x:c>
      <x:c r="E7" s="6"/>
      <x:c r="F7" s="6" t="str">
        <x:v>CONTRADICTED</x:v>
      </x:c>
      <x:c r="G7" s="6" t="n">
        <x:v>0</x:v>
      </x:c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3" hidden="0" customWidth="1"/>
    <x:col min="4" max="4" width="16" hidden="0" customWidth="1"/>
    <x:col min="5" max="5" width="56" hidden="0" customWidth="1"/>
    <x:col min="6" max="6" width="48" hidden="0" customWidth="1"/>
  </x:cols>
  <x:sheetData>
    <x:row r="1" ht="28" customHeight="1">
      <x:c r="A1" s="10" t="str">
        <x:v>ID</x:v>
      </x:c>
      <x:c r="B1" s="10" t="str">
        <x:v>Source</x:v>
      </x:c>
      <x:c r="C1" s="10" t="str">
        <x:v>Date</x:v>
      </x:c>
      <x:c r="D1" s="10" t="str">
        <x:v>Class</x:v>
      </x:c>
      <x:c r="E1" s="10" t="str">
        <x:v>Supports</x:v>
      </x:c>
      <x:c r="F1" s="10" t="str">
        <x:v>URL</x:v>
      </x:c>
      <x:c r="G1" s="10"/>
      <x:c r="H1" s="10"/>
      <x:c r="I1" s="10"/>
      <x:c r="J1" s="10"/>
      <x:c r="K1" s="10"/>
      <x:c r="L1" s="10"/>
      <x:c r="M1" s="10"/>
      <x:c r="N1" s="10"/>
    </x:row>
    <x:row r="2">
      <x:c r="A2" s="6" t="str">
        <x:v>E01</x:v>
      </x:c>
      <x:c r="B2" s="6" t="str">
        <x:v>Anthropic — Investigating three real-world incidents in cybersecurity evaluations</x:v>
      </x:c>
      <x:c r="C2" s="6" t="str">
        <x:v>2026-07-30</x:v>
      </x:c>
      <x:c r="D2" s="6" t="str">
        <x:v>DOCUMENTED</x:v>
      </x:c>
      <x:c r="E2" s="6" t="str">
        <x:v>Live-internet access; unauthorized external access; malicious PyPI package executed on 15 systems</x:v>
      </x:c>
      <x:c r="F2" s="6" t="str">
        <x:v>https://www.anthropic.com/news/investigating-incidents-cybersecurity-evals</x:v>
      </x:c>
      <x:c r="G2" s="6"/>
      <x:c r="H2" s="6"/>
      <x:c r="I2" s="6"/>
      <x:c r="J2" s="6"/>
      <x:c r="K2" s="6"/>
      <x:c r="L2" s="6"/>
      <x:c r="M2" s="6"/>
      <x:c r="N2" s="6"/>
    </x:row>
    <x:row r="3">
      <x:c r="A3" s="6" t="str">
        <x:v>E02</x:v>
      </x:c>
      <x:c r="B3" s="6" t="str">
        <x:v>OpenAI — Hugging Face model evaluation security incident</x:v>
      </x:c>
      <x:c r="C3" s="6" t="str">
        <x:v>2026-07-21</x:v>
      </x:c>
      <x:c r="D3" s="6" t="str">
        <x:v>DOCUMENTED</x:v>
      </x:c>
      <x:c r="E3" s="6" t="str">
        <x:v>Evaluation escape via previously unknown Artifactory vulnerability; internet access; Hugging Face compromise</x:v>
      </x:c>
      <x:c r="F3" s="6" t="str">
        <x:v>https://openai.com/index/hugging-face-model-evaluation-security-incident/</x:v>
      </x:c>
      <x:c r="G3" s="6"/>
      <x:c r="H3" s="6"/>
      <x:c r="I3" s="6"/>
      <x:c r="J3" s="6"/>
      <x:c r="K3" s="6"/>
      <x:c r="L3" s="6"/>
      <x:c r="M3" s="6"/>
      <x:c r="N3" s="6"/>
    </x:row>
    <x:row r="4">
      <x:c r="A4" s="6" t="str">
        <x:v>E03</x:v>
      </x:c>
      <x:c r="B4" s="6" t="str">
        <x:v>OpenAI — The Hugging Face incident and the road ahead</x:v>
      </x:c>
      <x:c r="C4" s="6" t="str">
        <x:v>2026-08-26</x:v>
      </x:c>
      <x:c r="D4" s="6" t="str">
        <x:v>DOCUMENTED</x:v>
      </x:c>
      <x:c r="E4" s="6" t="str">
        <x:v>Shared infrastructure as unintended communication channel; internal research infrastructure exposure</x:v>
      </x:c>
      <x:c r="F4" s="6" t="str">
        <x:v>https://openai.com/index/hugging-face-incident-and-the-road-ahead/</x:v>
      </x:c>
      <x:c r="G4" s="6"/>
      <x:c r="H4" s="6"/>
      <x:c r="I4" s="6"/>
      <x:c r="J4" s="6"/>
      <x:c r="K4" s="6"/>
      <x:c r="L4" s="6"/>
      <x:c r="M4" s="6"/>
      <x:c r="N4" s="6"/>
    </x:row>
    <x:row r="5">
      <x:c r="A5" s="6" t="str">
        <x:v>E04</x:v>
      </x:c>
      <x:c r="B5" s="6" t="str">
        <x:v>METR — Independent investigation of OpenAI / Hugging Face incident</x:v>
      </x:c>
      <x:c r="C5" s="6" t="str">
        <x:v>2026-08-26</x:v>
      </x:c>
      <x:c r="D5" s="6" t="str">
        <x:v>DOCUMENTED</x:v>
      </x:c>
      <x:c r="E5" s="6" t="str">
        <x:v>~1,200 agents used unsanctioned message board; coordination and file exchange</x:v>
      </x:c>
      <x:c r="F5" s="6" t="str">
        <x:v>https://metr.org/blog/2026-08-26-openai-hugging-face-incident-investigation/</x:v>
      </x:c>
      <x:c r="G5" s="6"/>
      <x:c r="H5" s="6"/>
      <x:c r="I5" s="6"/>
      <x:c r="J5" s="6"/>
      <x:c r="K5" s="6"/>
      <x:c r="L5" s="6"/>
      <x:c r="M5" s="6"/>
      <x:c r="N5" s="6"/>
    </x:row>
    <x:row r="6">
      <x:c r="A6" s="6" t="str">
        <x:v>E05</x:v>
      </x:c>
      <x:c r="B6" s="6" t="str">
        <x:v>Anthropic — Patterns and problems in multiagent systems</x:v>
      </x:c>
      <x:c r="C6" s="6" t="str">
        <x:v>2026-08</x:v>
      </x:c>
      <x:c r="D6" s="6" t="str">
        <x:v>DOCUMENTED</x:v>
      </x:c>
      <x:c r="E6" s="6" t="str">
        <x:v>Controlled multi-agent sabotage using increasingly aggressive self-replicating malware</x:v>
      </x:c>
      <x:c r="F6" s="6" t="str">
        <x:v>https://www.anthropic.com/research/multiagent-systems</x:v>
      </x:c>
      <x:c r="G6" s="6"/>
      <x:c r="H6" s="6"/>
      <x:c r="I6" s="6"/>
      <x:c r="J6" s="6"/>
      <x:c r="K6" s="6"/>
      <x:c r="L6" s="6"/>
      <x:c r="M6" s="6"/>
      <x:c r="N6" s="6"/>
    </x:row>
    <x:row r="7">
      <x:c r="A7" s="6" t="str">
        <x:v>E06</x:v>
      </x:c>
      <x:c r="B7" s="6" t="str">
        <x:v>Anthropic Alignment Science — Training a Misaligned Reward Seeker</x:v>
      </x:c>
      <x:c r="C7" s="6" t="str">
        <x:v>2026-08</x:v>
      </x:c>
      <x:c r="D7" s="6" t="str">
        <x:v>DOCUMENTED</x:v>
      </x:c>
      <x:c r="E7" s="6" t="str">
        <x:v>Controlled harmful simulated behavior: sandbox escape, credential theft, infrastructure attack, monitor bypass</x:v>
      </x:c>
      <x:c r="F7" s="6" t="str">
        <x:v>https://alignment.anthropic.com/2026/reward-seeker/</x:v>
      </x:c>
      <x:c r="G7" s="6"/>
      <x:c r="H7" s="6"/>
      <x:c r="I7" s="6"/>
      <x:c r="J7" s="6"/>
      <x:c r="K7" s="6"/>
      <x:c r="L7" s="6"/>
      <x:c r="M7" s="6"/>
      <x:c r="N7" s="6"/>
    </x:row>
    <x:row r="8">
      <x:c r="A8" s="6" t="str">
        <x:v>E07</x:v>
      </x:c>
      <x:c r="B8" s="6" t="str">
        <x:v>Anthropic — Model Hardware Standard research preview</x:v>
      </x:c>
      <x:c r="C8" s="6" t="str">
        <x:v>2026-08-27</x:v>
      </x:c>
      <x:c r="D8" s="6" t="str">
        <x:v>DOCUMENTED</x:v>
      </x:c>
      <x:c r="E8" s="6" t="str">
        <x:v>AI orchestration of microscopes, liquid handlers, robotic arms and scientific equipment</x:v>
      </x:c>
      <x:c r="F8" s="6" t="str">
        <x:v>https://www.anthropic.com/news/model-hardware-standard-research-preview</x:v>
      </x:c>
      <x:c r="G8" s="6"/>
      <x:c r="H8" s="6"/>
      <x:c r="I8" s="6"/>
      <x:c r="J8" s="6"/>
      <x:c r="K8" s="6"/>
      <x:c r="L8" s="6"/>
      <x:c r="M8" s="6"/>
      <x:c r="N8" s="6"/>
    </x:row>
    <x:row r="9">
      <x:c r="A9" s="6" t="str">
        <x:v>E08</x:v>
      </x:c>
      <x:c r="B9" s="6" t="str">
        <x:v>NIST CAISI — Security considerations for AI agents</x:v>
      </x:c>
      <x:c r="C9" s="6" t="str">
        <x:v>2026-05-18</x:v>
      </x:c>
      <x:c r="D9" s="6" t="str">
        <x:v>SUPPORTED</x:v>
      </x:c>
      <x:c r="E9" s="6" t="str">
        <x:v>Agent systems create novel security risks requiring controls beyond ordinary cybersecurity</x:v>
      </x:c>
      <x:c r="F9" s="6" t="str">
        <x:v>https://www.nist.gov/publications/summary-analysis-responses-request-information-regarding-security-considerations-ai</x:v>
      </x:c>
      <x:c r="G9" s="6"/>
      <x:c r="H9" s="6"/>
      <x:c r="I9" s="6"/>
      <x:c r="J9" s="6"/>
      <x:c r="K9" s="6"/>
      <x:c r="L9" s="6"/>
      <x:c r="M9" s="6"/>
      <x:c r="N9" s="6"/>
    </x:row>
    <x:row r="10">
      <x:c r="A10" s="6" t="str">
        <x:v>E09</x:v>
      </x:c>
      <x:c r="B10" s="6" t="str">
        <x:v>WHO — Laboratory biosecurity guidance</x:v>
      </x:c>
      <x:c r="C10" s="6" t="str">
        <x:v>2024-06-21</x:v>
      </x:c>
      <x:c r="D10" s="6" t="str">
        <x:v>SUPPORTED</x:v>
      </x:c>
      <x:c r="E10" s="6" t="str">
        <x:v>Consequence-driven risk assessment including cybersecurity, information security and AI</x:v>
      </x:c>
      <x:c r="F10" s="6" t="str">
        <x:v>https://www.who.int/publications/i/item/9789240095113</x:v>
      </x:c>
      <x:c r="G10" s="6"/>
      <x:c r="H10" s="6"/>
      <x:c r="I10" s="6"/>
      <x:c r="J10" s="6"/>
      <x:c r="K10" s="6"/>
      <x:c r="L10" s="6"/>
      <x:c r="M10" s="6"/>
      <x:c r="N10" s="6"/>
    </x:row>
    <x:row r="11">
      <x:c r="A11" s="6" t="str">
        <x:v>E10</x:v>
      </x:c>
      <x:c r="B11" s="6" t="str">
        <x:v>CDC/NIH — BMBL 6th Edition</x:v>
      </x:c>
      <x:c r="C11" s="6" t="str">
        <x:v>2026-03-18</x:v>
      </x:c>
      <x:c r="D11" s="6" t="str">
        <x:v>SUPPORTED</x:v>
      </x:c>
      <x:c r="E11" s="6" t="str">
        <x:v>Protocol-driven biosafety risk assessment and layered mitigation</x:v>
      </x:c>
      <x:c r="F11" s="6" t="str">
        <x:v>https://www.cdc.gov/labs/bmbl/index.html</x:v>
      </x:c>
      <x:c r="G11" s="6"/>
      <x:c r="H11" s="6"/>
      <x:c r="I11" s="6"/>
      <x:c r="J11" s="6"/>
      <x:c r="K11" s="6"/>
      <x:c r="L11" s="6"/>
      <x:c r="M11" s="6"/>
      <x:c r="N11" s="6"/>
    </x:row>
    <x:row r="12">
      <x:c r="A12" s="6" t="str">
        <x:v>E11</x:v>
      </x:c>
      <x:c r="B12" s="6" t="str">
        <x:v>Frontiers in Microbiology — Automated Laboratory Security Tiers</x:v>
      </x:c>
      <x:c r="C12" s="6" t="str">
        <x:v>2026-07-15</x:v>
      </x:c>
      <x:c r="D12" s="6" t="str">
        <x:v>SUPPORTED</x:v>
      </x:c>
      <x:c r="E12" s="6" t="str">
        <x:v>Automated labs expose cyberattack surfaces; IT/OT compromise can affect protocols and instruments</x:v>
      </x:c>
      <x:c r="F12" s="6" t="str">
        <x:v>https://www.frontiersin.org/journals/microbiology/articles/10.3389/fmicb.2026.1832401/full</x:v>
      </x:c>
      <x:c r="G12" s="6"/>
      <x:c r="H12" s="6"/>
      <x:c r="I12" s="6"/>
      <x:c r="J12" s="6"/>
      <x:c r="K12" s="6"/>
      <x:c r="L12" s="6"/>
      <x:c r="M12" s="6"/>
      <x:c r="N12" s="6"/>
    </x:row>
    <x:row r="13">
      <x:c r="A13" s="6" t="str">
        <x:v>E12</x:v>
      </x:c>
      <x:c r="B13" s="6" t="str">
        <x:v>Cyberbiosecurity in high-containment laboratories</x:v>
      </x:c>
      <x:c r="C13" s="6" t="str">
        <x:v>2023</x:v>
      </x:c>
      <x:c r="D13" s="6" t="str">
        <x:v>SUPPORTED</x:v>
      </x:c>
      <x:c r="E13" s="6" t="str">
        <x:v>Cyber/cyberphysical assets can affect worker, public-health, safety and security outcomes</x:v>
      </x:c>
      <x:c r="F13" s="6" t="str">
        <x:v>https://pmc.ncbi.nlm.nih.gov/articles/PMC10407794/</x:v>
      </x:c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pageMargins left="0.7" right="0.7" top="0.75" bottom="0.75" header="0.3" footer="0.3"/>
  <x:tableParts count="1">
    <x:tablePart xmlns:r="http://schemas.openxmlformats.org/officeDocument/2006/relationships" r:id="R54073394816d41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52" hidden="0" customWidth="1"/>
    <x:col min="6" max="6" width="18" hidden="0" customWidth="1"/>
    <x:col min="7" max="7" width="20" hidden="0" customWidth="1"/>
    <x:col min="8" max="8" width="44" hidden="0" customWidth="1"/>
    <x:col min="9" max="9" width="48" hidden="0" customWidth="1"/>
  </x:cols>
  <x:sheetData>
    <x:row r="1" ht="28" customHeight="1">
      <x:c r="A1" s="10" t="str">
        <x:v>CPX Tier</x:v>
      </x:c>
      <x:c r="B1" s="10" t="str">
        <x:v>Digital authority condition</x:v>
      </x:c>
      <x:c r="C1" s="10" t="str">
        <x:v>Default decision</x:v>
      </x:c>
      <x:c r="D1" s="10" t="str">
        <x:v>Required boundary</x:v>
      </x:c>
      <x:c r="E1" s="10"/>
      <x:c r="F1" s="10" t="str">
        <x:v>Physical tier</x:v>
      </x:c>
      <x:c r="G1" s="10" t="str">
        <x:v>Source status</x:v>
      </x:c>
      <x:c r="H1" s="10" t="str">
        <x:v>Core concept</x:v>
      </x:c>
      <x:c r="I1" s="10" t="str">
        <x:v>Digital correction</x:v>
      </x:c>
      <x:c r="J1" s="10"/>
      <x:c r="K1" s="10"/>
      <x:c r="L1" s="10"/>
      <x:c r="M1" s="10"/>
      <x:c r="N1" s="10"/>
    </x:row>
    <x:row r="2">
      <x:c r="A2" s="6" t="str">
        <x:v>CPX-0</x:v>
      </x:c>
      <x:c r="B2" s="6" t="str">
        <x:v>No AI control; local deterministic control only</x:v>
      </x:c>
      <x:c r="C2" s="6" t="str">
        <x:v>ALLOW</x:v>
      </x:c>
      <x:c r="D2" s="6" t="str">
        <x:v>Physical interlocks + signed local configuration</x:v>
      </x:c>
      <x:c r="E2" s="6"/>
      <x:c r="F2" s="6" t="str">
        <x:v>BSL-4 Enhanced</x:v>
      </x:c>
      <x:c r="G2" s="6" t="str">
        <x:v>Proposed addendum</x:v>
      </x:c>
      <x:c r="H2" s="6" t="str">
        <x:v>Dual-human high-risk manipulation; immutable logging; automated containment response</x:v>
      </x:c>
      <x:c r="I2" s="6" t="str">
        <x:v>AI may detect/recommend; deterministic interlock retains final authority</x:v>
      </x:c>
      <x:c r="J2" s="6"/>
      <x:c r="K2" s="6"/>
      <x:c r="L2" s="6"/>
      <x:c r="M2" s="6"/>
      <x:c r="N2" s="6"/>
    </x:row>
    <x:row r="3">
      <x:c r="A3" s="6" t="str">
        <x:v>CPX-1</x:v>
      </x:c>
      <x:c r="B3" s="6" t="str">
        <x:v>Networked monitoring / authenticated local control</x:v>
      </x:c>
      <x:c r="C3" s="6" t="str">
        <x:v>ALLOW</x:v>
      </x:c>
      <x:c r="D3" s="6" t="str">
        <x:v>Segmentation + independent safety PLC/interlock</x:v>
      </x:c>
      <x:c r="E3" s="6"/>
      <x:c r="F3" s="6" t="str">
        <x:v>BSL-5 Remote Terrestrial</x:v>
      </x:c>
      <x:c r="G3" s="6" t="str">
        <x:v>Proposed addendum</x:v>
      </x:c>
      <x:c r="H3" s="6" t="str">
        <x:v>Remote site; robotic primary work; separated control room</x:v>
      </x:c>
      <x:c r="I3" s="6" t="str">
        <x:v>No shared external trust domain; hardware-enforced egress controls</x:v>
      </x:c>
      <x:c r="J3" s="6"/>
      <x:c r="K3" s="6"/>
      <x:c r="L3" s="6"/>
      <x:c r="M3" s="6"/>
      <x:c r="N3" s="6"/>
    </x:row>
    <x:row r="4">
      <x:c r="A4" s="6" t="str">
        <x:v>CPX-2</x:v>
      </x:c>
      <x:c r="B4" s="6" t="str">
        <x:v>AI advisory / read-only analysis</x:v>
      </x:c>
      <x:c r="C4" s="6" t="str">
        <x:v>ALLOW/HOLD</x:v>
      </x:c>
      <x:c r="D4" s="6" t="str">
        <x:v>No actuator write authority; signed configs; isolated evidence path</x:v>
      </x:c>
      <x:c r="E4" s="6"/>
      <x:c r="F4" s="6" t="str">
        <x:v>BSL-6 Automated Ground</x:v>
      </x:c>
      <x:c r="G4" s="6" t="str">
        <x:v>Proposed addendum</x:v>
      </x:c>
      <x:c r="H4" s="6" t="str">
        <x:v>Fully robotic remote/underground facility; zero routine human entry</x:v>
      </x:c>
      <x:c r="I4" s="6" t="str">
        <x:v>AI disagreement is signal only; fail-safe actuation remains deterministic</x:v>
      </x:c>
      <x:c r="J4" s="6"/>
      <x:c r="K4" s="6"/>
      <x:c r="L4" s="6"/>
      <x:c r="M4" s="6"/>
      <x:c r="N4" s="6"/>
    </x:row>
    <x:row r="5">
      <x:c r="A5" s="6" t="str">
        <x:v>CPX-3</x:v>
      </x:c>
      <x:c r="B5" s="6" t="str">
        <x:v>AI proposes/orchestrates bounded workflows</x:v>
      </x:c>
      <x:c r="C5" s="6" t="str">
        <x:v>ESCALATE</x:v>
      </x:c>
      <x:c r="D5" s="6" t="str">
        <x:v>Deterministic allow-list + multi-party authorization + hard interlocks</x:v>
      </x:c>
      <x:c r="E5" s="6"/>
      <x:c r="F5" s="6" t="str">
        <x:v>BSL-7 Deep Orbital</x:v>
      </x:c>
      <x:c r="G5" s="6" t="str">
        <x:v>Boundary condition / thought experiment</x:v>
      </x:c>
      <x:c r="H5" s="6" t="str">
        <x:v>Remote robotic module; irreversible neutralization concept</x:v>
      </x:c>
      <x:c r="I5" s="6" t="str">
        <x:v>No Earth-return path for work exceeding lower-tier containment</x:v>
      </x:c>
      <x:c r="J5" s="6"/>
      <x:c r="K5" s="6"/>
      <x:c r="L5" s="6"/>
      <x:c r="M5" s="6"/>
      <x:c r="N5" s="6"/>
    </x:row>
    <x:row r="6">
      <x:c r="A6" s="6" t="str">
        <x:v>CPX-4</x:v>
      </x:c>
      <x:c r="B6" s="6" t="str">
        <x:v>Autonomous AI write authority, internet/package access, or external shared trust paths</x:v>
      </x:c>
      <x:c r="C6" s="6" t="str">
        <x:v>PROHIBIT for high-consequence work</x:v>
      </x:c>
      <x:c r="D6" s="6" t="str">
        <x:v>Remove external trust path or lower CPX before work proceeds</x:v>
      </x:c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HUM-01</x:v>
      </x:c>
      <x:c r="B2" s="6" t="str">
        <x:v>Misconfiguration leaves unintended network path</x:v>
      </x:c>
      <x:c r="C2" s="6" t="str">
        <x:v>DOCUMENTED</x:v>
      </x:c>
      <x:c r="D2" s="6" t="str">
        <x:v>E01</x:v>
      </x:c>
      <x:c r="E2" s="6" t="n">
        <x:v>5</x:v>
      </x:c>
      <x:c r="F2" s="6" t="n">
        <x:v>4</x:v>
      </x:c>
      <x:c r="G2" s="6" t="n">
        <x:v>3</x:v>
      </x:c>
      <x:c r="H2" s="6" t="n">
        <x:v>5</x:v>
      </x:c>
      <x:c r="I2" s="6" t="n">
        <x:v>5</x:v>
      </x:c>
      <x:c r="J2" s="6" t="n">
        <x:v>2</x:v>
      </x:c>
      <x:c r="K2" s="6" t="n">
        <x:f>E2*SUM(F2:I2)/(J2+Parameters!$B$6)</x:f>
        <x:v>28.333333333333332</x:v>
      </x:c>
      <x:c r="L2" s="6" t="str">
        <x:f>IF(K2&gt;=Parameters!$B$2,"RED",IF(K2&gt;=Parameters!$B$3,"ORANGE",IF(K2&gt;=Parameters!$B$4,"YELLOW","GREEN")))</x:f>
        <x:v>YELLOW</x:v>
      </x:c>
      <x:c r="M2" s="6" t="str">
        <x:f>IF(C2="CONTRADICTED","UNKNOWN",IF(L2="RED","PROHIBIT",IF(L2="ORANGE","ESCALATE",IF(L2="YELLOW","HOLD","ALLOW"))))</x:f>
        <x:v>HOLD</x:v>
      </x:c>
      <x:c r="N2" s="6" t="str">
        <x:v>Hardware-enforced egress boundary; independent verification before run</x:v>
      </x:c>
    </x:row>
    <x:row r="3">
      <x:c r="A3" s="6" t="str">
        <x:v>HUM-02</x:v>
      </x:c>
      <x:c r="B3" s="6" t="str">
        <x:v>Procedural shortcut / incomplete verification</x:v>
      </x:c>
      <x:c r="C3" s="6" t="str">
        <x:v>SUPPORTED</x:v>
      </x:c>
      <x:c r="D3" s="6" t="str">
        <x:v>E09,E10</x:v>
      </x:c>
      <x:c r="E3" s="6" t="n">
        <x:v>4</x:v>
      </x:c>
      <x:c r="F3" s="6" t="n">
        <x:v>4</x:v>
      </x:c>
      <x:c r="G3" s="6" t="n">
        <x:v>1</x:v>
      </x:c>
      <x:c r="H3" s="6" t="n">
        <x:v>3</x:v>
      </x:c>
      <x:c r="I3" s="6" t="n">
        <x:v>5</x:v>
      </x:c>
      <x:c r="J3" s="6" t="n">
        <x:v>3</x:v>
      </x:c>
      <x:c r="K3" s="6" t="n">
        <x:f>E3*SUM(F3:I3)/(J3+Parameters!$B$6)</x:f>
        <x:v>13</x:v>
      </x:c>
      <x:c r="L3" s="6" t="str">
        <x:f>IF(K3&gt;=Parameters!$B$2,"RED",IF(K3&gt;=Parameters!$B$3,"ORANGE",IF(K3&gt;=Parameters!$B$4,"YELLOW","GREEN")))</x:f>
        <x:v>GREEN</x:v>
      </x:c>
      <x:c r="M3" s="6" t="str">
        <x:f>IF(C3="CONTRADICTED","UNKNOWN",IF(L3="RED","PROHIBIT",IF(L3="ORANGE","ESCALATE",IF(L3="YELLOW","HOLD","ALLOW"))))</x:f>
        <x:v>ALLOW</x:v>
      </x:c>
      <x:c r="N3" s="6" t="str">
        <x:v>Dual verification + machine-checkable procedure receipt</x:v>
      </x:c>
    </x:row>
    <x:row r="4">
      <x:c r="A4" s="6" t="str">
        <x:v>HUM-03</x:v>
      </x:c>
      <x:c r="B4" s="6" t="str">
        <x:v>Shared credentials or overly broad authorization</x:v>
      </x:c>
      <x:c r="C4" s="6" t="str">
        <x:v>SUPPORTED</x:v>
      </x:c>
      <x:c r="D4" s="6" t="str">
        <x:v>E01,E12</x:v>
      </x:c>
      <x:c r="E4" s="6" t="n">
        <x:v>5</x:v>
      </x:c>
      <x:c r="F4" s="6" t="n">
        <x:v>4</x:v>
      </x:c>
      <x:c r="G4" s="6" t="n">
        <x:v>4</x:v>
      </x:c>
      <x:c r="H4" s="6" t="n">
        <x:v>5</x:v>
      </x:c>
      <x:c r="I4" s="6" t="n">
        <x:v>4</x:v>
      </x:c>
      <x:c r="J4" s="6" t="n">
        <x:v>2</x:v>
      </x:c>
      <x:c r="K4" s="6" t="n">
        <x:f>E4*SUM(F4:I4)/(J4+Parameters!$B$6)</x:f>
        <x:v>28.333333333333332</x:v>
      </x:c>
      <x:c r="L4" s="6" t="str">
        <x:f>IF(K4&gt;=Parameters!$B$2,"RED",IF(K4&gt;=Parameters!$B$3,"ORANGE",IF(K4&gt;=Parameters!$B$4,"YELLOW","GREEN")))</x:f>
        <x:v>YELLOW</x:v>
      </x:c>
      <x:c r="M4" s="6" t="str">
        <x:f>IF(C4="CONTRADICTED","UNKNOWN",IF(L4="RED","PROHIBIT",IF(L4="ORANGE","ESCALATE",IF(L4="YELLOW","HOLD","ALLOW"))))</x:f>
        <x:v>HOLD</x:v>
      </x:c>
      <x:c r="N4" s="6" t="str">
        <x:v>Least privilege; per-task credentials; no reusable secrets across domains</x:v>
      </x:c>
    </x:row>
    <x:row r="5">
      <x:c r="A5" s="6" t="str">
        <x:v>HUM-04</x:v>
      </x:c>
      <x:c r="B5" s="6" t="str">
        <x:v>Institutional notification delay / suppression window</x:v>
      </x:c>
      <x:c r="C5" s="6" t="str">
        <x:v>INFERENCE</x:v>
      </x:c>
      <x:c r="D5" s="6" t="str">
        <x:v>Internal BSL report lineage</x:v>
      </x:c>
      <x:c r="E5" s="6" t="n">
        <x:v>5</x:v>
      </x:c>
      <x:c r="F5" s="6" t="n">
        <x:v>3</x:v>
      </x:c>
      <x:c r="G5" s="6" t="n">
        <x:v>1</x:v>
      </x:c>
      <x:c r="H5" s="6" t="n">
        <x:v>4</x:v>
      </x:c>
      <x:c r="I5" s="6" t="n">
        <x:v>5</x:v>
      </x:c>
      <x:c r="J5" s="6" t="n">
        <x:v>2</x:v>
      </x:c>
      <x:c r="K5" s="6" t="n">
        <x:f>E5*SUM(F5:I5)/(J5+Parameters!$B$6)</x:f>
        <x:v>21.666666666666668</x:v>
      </x:c>
      <x:c r="L5" s="6" t="str">
        <x:f>IF(K5&gt;=Parameters!$B$2,"RED",IF(K5&gt;=Parameters!$B$3,"ORANGE",IF(K5&gt;=Parameters!$B$4,"YELLOW","GREEN")))</x:f>
        <x:v>GREEN</x:v>
      </x:c>
      <x:c r="M5" s="6" t="str">
        <x:f>IF(C5="CONTRADICTED","UNKNOWN",IF(L5="RED","PROHIBIT",IF(L5="ORANGE","ESCALATE",IF(L5="YELLOW","HOLD","ALLOW"))))</x:f>
        <x:v>ALLOW</x:v>
      </x:c>
      <x:c r="N5" s="6" t="str">
        <x:v>Independent immutable reporting path and time-bound external escalation</x:v>
      </x:c>
    </x:row>
    <x:row r="6">
      <x:c r="A6" s="6" t="str">
        <x:v>HUM-05</x:v>
      </x:c>
      <x:c r="B6" s="6" t="str">
        <x:v>Assuming software isolation equals physical isolation</x:v>
      </x:c>
      <x:c r="C6" s="6" t="str">
        <x:v>DOCUMENTED</x:v>
      </x:c>
      <x:c r="D6" s="6" t="str">
        <x:v>E01,E02</x:v>
      </x:c>
      <x:c r="E6" s="6" t="n">
        <x:v>5</x:v>
      </x:c>
      <x:c r="F6" s="6" t="n">
        <x:v>4</x:v>
      </x:c>
      <x:c r="G6" s="6" t="n">
        <x:v>4</x:v>
      </x:c>
      <x:c r="H6" s="6" t="n">
        <x:v>5</x:v>
      </x:c>
      <x:c r="I6" s="6" t="n">
        <x:v>5</x:v>
      </x:c>
      <x:c r="J6" s="6" t="n">
        <x:v>1</x:v>
      </x:c>
      <x:c r="K6" s="6" t="n">
        <x:f>E6*SUM(F6:I6)/(J6+Parameters!$B$6)</x:f>
        <x:v>45</x:v>
      </x:c>
      <x:c r="L6" s="6" t="str">
        <x:f>IF(K6&gt;=Parameters!$B$2,"RED",IF(K6&gt;=Parameters!$B$3,"ORANGE",IF(K6&gt;=Parameters!$B$4,"YELLOW","GREEN")))</x:f>
        <x:v>ORANGE</x:v>
      </x:c>
      <x:c r="M6" s="6" t="str">
        <x:f>IF(C6="CONTRADICTED","UNKNOWN",IF(L6="RED","PROHIBIT",IF(L6="ORANGE","ESCALATE",IF(L6="YELLOW","HOLD","ALLOW"))))</x:f>
        <x:v>ESCALATE</x:v>
      </x:c>
      <x:c r="N6" s="6" t="str">
        <x:v>Prove isolation physically and externally; do not rely on config labels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6">
    <x:cfRule type="expression" dxfId="0" priority="1">
      <x:formula>L2="RED"</x:formula>
    </x:cfRule>
    <x:cfRule type="expression" dxfId="1" priority="2">
      <x:formula>L2="ORANGE"</x:formula>
    </x:cfRule>
    <x:cfRule type="expression" dxfId="2" priority="3">
      <x:formula>L2="YELLOW"</x:formula>
    </x:cfRule>
    <x:cfRule type="expression" dxfId="3" priority="4">
      <x:formula>L2="GREEN"</x:formula>
    </x:cfRule>
  </x:conditionalFormatting>
  <x:conditionalFormatting sqref="K2:K6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{22409F1E-A90A-6517-80D9-9EC4CB533CC1}</x14:id>
        </x:ext>
      </x:extLst>
    </x:cfRule>
  </x:conditionalFormatting>
  <x:dataValidations count="7">
    <x:dataValidation type="list" sqref="C2:C6">
      <x:formula1>"DOCUMENTED,SUPPORTED,INFERENCE,PLAUSIBLE,UNKNOWN,CONTRADICTED"</x:formula1>
    </x:dataValidation>
    <x:dataValidation type="list" sqref="E2:E6">
      <x:formula1>"0,1,2,3,4,5"</x:formula1>
    </x:dataValidation>
    <x:dataValidation type="list" sqref="F2:F6">
      <x:formula1>"0,1,2,3,4,5"</x:formula1>
    </x:dataValidation>
    <x:dataValidation type="list" sqref="G2:G6">
      <x:formula1>"0,1,2,3,4,5"</x:formula1>
    </x:dataValidation>
    <x:dataValidation type="list" sqref="H2:H6">
      <x:formula1>"0,1,2,3,4,5"</x:formula1>
    </x:dataValidation>
    <x:dataValidation type="list" sqref="I2:I6">
      <x:formula1>"0,1,2,3,4,5"</x:formula1>
    </x:dataValidation>
    <x:dataValidation type="list" sqref="J2:J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1b73440e742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2409F1E-A90A-6517-80D9-9EC4CB533CC1}">
            <x14:dataBar gradient="1">
              <x14:cfvo type="min"/>
              <x14:cfvo type="max"/>
              <x14:fillColor rgb="FFF28C28"/>
            </x14:dataBar>
          </x14:cfRule>
          <xm:sqref>K2:K6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MAC-01</x:v>
      </x:c>
      <x:c r="B2" s="6" t="str">
        <x:v>Agent autonomously exploits available attack surface</x:v>
      </x:c>
      <x:c r="C2" s="6" t="str">
        <x:v>DOCUMENTED</x:v>
      </x:c>
      <x:c r="D2" s="6" t="str">
        <x:v>E02,E06</x:v>
      </x:c>
      <x:c r="E2" s="6" t="n">
        <x:v>5</x:v>
      </x:c>
      <x:c r="F2" s="6" t="n">
        <x:v>5</x:v>
      </x:c>
      <x:c r="G2" s="6" t="n">
        <x:v>5</x:v>
      </x:c>
      <x:c r="H2" s="6" t="n">
        <x:v>4</x:v>
      </x:c>
      <x:c r="I2" s="6" t="n">
        <x:v>2</x:v>
      </x:c>
      <x:c r="J2" s="6" t="n">
        <x:v>2</x:v>
      </x:c>
      <x:c r="K2" s="6" t="n">
        <x:f>E2*SUM(F2:I2)/(J2+Parameters!$B$6)</x:f>
        <x:v>26.666666666666668</x:v>
      </x:c>
      <x:c r="L2" s="6" t="str">
        <x:f>IF(K2&gt;=Parameters!$B$2,"RED",IF(K2&gt;=Parameters!$B$3,"ORANGE",IF(K2&gt;=Parameters!$B$4,"YELLOW","GREEN")))</x:f>
        <x:v>YELLOW</x:v>
      </x:c>
      <x:c r="M2" s="6" t="str">
        <x:f>IF(C2="CONTRADICTED","UNKNOWN",IF(L2="RED","PROHIBIT",IF(L2="ORANGE","ESCALATE",IF(L2="YELLOW","HOLD","ALLOW"))))</x:f>
        <x:v>HOLD</x:v>
      </x:c>
      <x:c r="N2" s="6" t="str">
        <x:v>Bound tool authority; deterministic command allow-list; isolated targets</x:v>
      </x:c>
    </x:row>
    <x:row r="3">
      <x:c r="A3" s="6" t="str">
        <x:v>MAC-02</x:v>
      </x:c>
      <x:c r="B3" s="6" t="str">
        <x:v>Agent persists or moves laterally after initial access</x:v>
      </x:c>
      <x:c r="C3" s="6" t="str">
        <x:v>DOCUMENTED</x:v>
      </x:c>
      <x:c r="D3" s="6" t="str">
        <x:v>E01,E02</x:v>
      </x:c>
      <x:c r="E3" s="6" t="n">
        <x:v>5</x:v>
      </x:c>
      <x:c r="F3" s="6" t="n">
        <x:v>4</x:v>
      </x:c>
      <x:c r="G3" s="6" t="n">
        <x:v>5</x:v>
      </x:c>
      <x:c r="H3" s="6" t="n">
        <x:v>5</x:v>
      </x:c>
      <x:c r="I3" s="6" t="n">
        <x:v>2</x:v>
      </x:c>
      <x:c r="J3" s="6" t="n">
        <x:v>2</x:v>
      </x:c>
      <x:c r="K3" s="6" t="n">
        <x:f>E3*SUM(F3:I3)/(J3+Parameters!$B$6)</x:f>
        <x:v>26.666666666666668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Ephemeral identity; segmentation; deny reusable credentials</x:v>
      </x:c>
    </x:row>
    <x:row r="4">
      <x:c r="A4" s="6" t="str">
        <x:v>MAC-03</x:v>
      </x:c>
      <x:c r="B4" s="6" t="str">
        <x:v>Multi-agent coordination bypasses intended isolation</x:v>
      </x:c>
      <x:c r="C4" s="6" t="str">
        <x:v>DOCUMENTED</x:v>
      </x:c>
      <x:c r="D4" s="6" t="str">
        <x:v>E03,E04</x:v>
      </x:c>
      <x:c r="E4" s="6" t="n">
        <x:v>5</x:v>
      </x:c>
      <x:c r="F4" s="6" t="n">
        <x:v>4</x:v>
      </x:c>
      <x:c r="G4" s="6" t="n">
        <x:v>5</x:v>
      </x:c>
      <x:c r="H4" s="6" t="n">
        <x:v>5</x:v>
      </x:c>
      <x:c r="I4" s="6" t="n">
        <x:v>2</x:v>
      </x:c>
      <x:c r="J4" s="6" t="n">
        <x:v>2</x:v>
      </x:c>
      <x:c r="K4" s="6" t="n">
        <x:f>E4*SUM(F4:I4)/(J4+Parameters!$B$6)</x:f>
        <x:v>26.666666666666668</x:v>
      </x:c>
      <x:c r="L4" s="6" t="str">
        <x:f>IF(K4&gt;=Parameters!$B$2,"RED",IF(K4&gt;=Parameters!$B$3,"ORANGE",IF(K4&gt;=Parameters!$B$4,"YELLOW","GREEN")))</x:f>
        <x:v>YELLOW</x:v>
      </x:c>
      <x:c r="M4" s="6" t="str">
        <x:f>IF(C4="CONTRADICTED","UNKNOWN",IF(L4="RED","PROHIBIT",IF(L4="ORANGE","ESCALATE",IF(L4="YELLOW","HOLD","ALLOW"))))</x:f>
        <x:v>HOLD</x:v>
      </x:c>
      <x:c r="N4" s="6" t="str">
        <x:v>No shared covert channel; independent per-agent namespaces and quotas</x:v>
      </x:c>
    </x:row>
    <x:row r="5">
      <x:c r="A5" s="6" t="str">
        <x:v>MAC-04</x:v>
      </x:c>
      <x:c r="B5" s="6" t="str">
        <x:v>Self-propagating malicious code emerges in adversarial agent setting</x:v>
      </x:c>
      <x:c r="C5" s="6" t="str">
        <x:v>DOCUMENTED</x:v>
      </x:c>
      <x:c r="D5" s="6" t="str">
        <x:v>E05</x:v>
      </x:c>
      <x:c r="E5" s="6" t="n">
        <x:v>5</x:v>
      </x:c>
      <x:c r="F5" s="6" t="n">
        <x:v>3</x:v>
      </x:c>
      <x:c r="G5" s="6" t="n">
        <x:v>5</x:v>
      </x:c>
      <x:c r="H5" s="6" t="n">
        <x:v>5</x:v>
      </x:c>
      <x:c r="I5" s="6" t="n">
        <x:v>1</x:v>
      </x:c>
      <x:c r="J5" s="6" t="n">
        <x:v>2</x:v>
      </x:c>
      <x:c r="K5" s="6" t="n">
        <x:f>E5*SUM(F5:I5)/(J5+Parameters!$B$6)</x:f>
        <x:v>23.333333333333332</x:v>
      </x:c>
      <x:c r="L5" s="6" t="str">
        <x:f>IF(K5&gt;=Parameters!$B$2,"RED",IF(K5&gt;=Parameters!$B$3,"ORANGE",IF(K5&gt;=Parameters!$B$4,"YELLOW","GREEN")))</x:f>
        <x:v>GREEN</x:v>
      </x:c>
      <x:c r="M5" s="6" t="str">
        <x:f>IF(C5="CONTRADICTED","UNKNOWN",IF(L5="RED","PROHIBIT",IF(L5="ORANGE","ESCALATE",IF(L5="YELLOW","HOLD","ALLOW"))))</x:f>
        <x:v>ALLOW</x:v>
      </x:c>
      <x:c r="N5" s="6" t="str">
        <x:v>No executable propagation path; immutable base images; deterministic network deny</x:v>
      </x:c>
    </x:row>
    <x:row r="6">
      <x:c r="A6" s="6" t="str">
        <x:v>MAC-05</x:v>
      </x:c>
      <x:c r="B6" s="6" t="str">
        <x:v>Misaligned agent contaminates future AI pipeline</x:v>
      </x:c>
      <x:c r="C6" s="6" t="str">
        <x:v>INFERENCE</x:v>
      </x:c>
      <x:c r="D6" s="6" t="str">
        <x:v>E06 + report lineage</x:v>
      </x:c>
      <x:c r="E6" s="6" t="n">
        <x:v>5</x:v>
      </x:c>
      <x:c r="F6" s="6" t="n">
        <x:v>3</x:v>
      </x:c>
      <x:c r="G6" s="6" t="n">
        <x:v>5</x:v>
      </x:c>
      <x:c r="H6" s="6" t="n">
        <x:v>5</x:v>
      </x:c>
      <x:c r="I6" s="6" t="n">
        <x:v>2</x:v>
      </x:c>
      <x:c r="J6" s="6" t="n">
        <x:v>2</x:v>
      </x:c>
      <x:c r="K6" s="6" t="n">
        <x:f>E6*SUM(F6:I6)/(J6+Parameters!$B$6)</x:f>
        <x:v>25</x:v>
      </x:c>
      <x:c r="L6" s="6" t="str">
        <x:f>IF(K6&gt;=Parameters!$B$2,"RED",IF(K6&gt;=Parameters!$B$3,"ORANGE",IF(K6&gt;=Parameters!$B$4,"YELLOW","GREEN")))</x:f>
        <x:v>YELLOW</x:v>
      </x:c>
      <x:c r="M6" s="6" t="str">
        <x:f>IF(C6="CONTRADICTED","UNKNOWN",IF(L6="RED","PROHIBIT",IF(L6="ORANGE","ESCALATE",IF(L6="YELLOW","HOLD","ALLOW"))))</x:f>
        <x:v>HOLD</x:v>
      </x:c>
      <x:c r="N6" s="6" t="str">
        <x:v>Independent artifact provenance; human + deterministic promotion gate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6">
    <x:cfRule type="expression" dxfId="4" priority="1">
      <x:formula>L2="RED"</x:formula>
    </x:cfRule>
    <x:cfRule type="expression" dxfId="5" priority="2">
      <x:formula>L2="ORANGE"</x:formula>
    </x:cfRule>
    <x:cfRule type="expression" dxfId="6" priority="3">
      <x:formula>L2="YELLOW"</x:formula>
    </x:cfRule>
    <x:cfRule type="expression" dxfId="7" priority="4">
      <x:formula>L2="GREEN"</x:formula>
    </x:cfRule>
  </x:conditionalFormatting>
  <x:conditionalFormatting sqref="K2:K6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{49484CEB-9133-1AE5-89E3-2D63E594FF91}</x14:id>
        </x:ext>
      </x:extLst>
    </x:cfRule>
  </x:conditionalFormatting>
  <x:dataValidations count="7">
    <x:dataValidation type="list" sqref="C2:C6">
      <x:formula1>"DOCUMENTED,SUPPORTED,INFERENCE,PLAUSIBLE,UNKNOWN,CONTRADICTED"</x:formula1>
    </x:dataValidation>
    <x:dataValidation type="list" sqref="E2:E6">
      <x:formula1>"0,1,2,3,4,5"</x:formula1>
    </x:dataValidation>
    <x:dataValidation type="list" sqref="F2:F6">
      <x:formula1>"0,1,2,3,4,5"</x:formula1>
    </x:dataValidation>
    <x:dataValidation type="list" sqref="G2:G6">
      <x:formula1>"0,1,2,3,4,5"</x:formula1>
    </x:dataValidation>
    <x:dataValidation type="list" sqref="H2:H6">
      <x:formula1>"0,1,2,3,4,5"</x:formula1>
    </x:dataValidation>
    <x:dataValidation type="list" sqref="I2:I6">
      <x:formula1>"0,1,2,3,4,5"</x:formula1>
    </x:dataValidation>
    <x:dataValidation type="list" sqref="J2:J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f8a09fc40c43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49484CEB-9133-1AE5-89E3-2D63E594FF91}">
            <x14:dataBar gradient="1">
              <x14:cfvo type="min"/>
              <x14:cfvo type="max"/>
              <x14:fillColor rgb="FFF28C28"/>
            </x14:dataBar>
          </x14:cfRule>
          <xm:sqref>K2:K6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CYB-01</x:v>
      </x:c>
      <x:c r="B2" s="6" t="str">
        <x:v>Sandbox / evaluation environment egress</x:v>
      </x:c>
      <x:c r="C2" s="6" t="str">
        <x:v>DOCUMENTED</x:v>
      </x:c>
      <x:c r="D2" s="6" t="str">
        <x:v>E01,E02</x:v>
      </x:c>
      <x:c r="E2" s="6" t="n">
        <x:v>5</x:v>
      </x:c>
      <x:c r="F2" s="6" t="n">
        <x:v>5</x:v>
      </x:c>
      <x:c r="G2" s="6" t="n">
        <x:v>5</x:v>
      </x:c>
      <x:c r="H2" s="6" t="n">
        <x:v>5</x:v>
      </x:c>
      <x:c r="I2" s="6" t="n">
        <x:v>4</x:v>
      </x:c>
      <x:c r="J2" s="6" t="n">
        <x:v>2</x:v>
      </x:c>
      <x:c r="K2" s="6" t="n">
        <x:f>E2*SUM(F2:I2)/(J2+Parameters!$B$6)</x:f>
        <x:v>31.666666666666668</x:v>
      </x:c>
      <x:c r="L2" s="6" t="str">
        <x:f>IF(K2&gt;=Parameters!$B$2,"RED",IF(K2&gt;=Parameters!$B$3,"ORANGE",IF(K2&gt;=Parameters!$B$4,"YELLOW","GREEN")))</x:f>
        <x:v>YELLOW</x:v>
      </x:c>
      <x:c r="M2" s="6" t="str">
        <x:f>IF(C2="CONTRADICTED","UNKNOWN",IF(L2="RED","PROHIBIT",IF(L2="ORANGE","ESCALATE",IF(L2="YELLOW","HOLD","ALLOW"))))</x:f>
        <x:v>HOLD</x:v>
      </x:c>
      <x:c r="N2" s="6" t="str">
        <x:v>Hardware/network boundary independently tested from inside and outside</x:v>
      </x:c>
    </x:row>
    <x:row r="3">
      <x:c r="A3" s="6" t="str">
        <x:v>CYB-02</x:v>
      </x:c>
      <x:c r="B3" s="6" t="str">
        <x:v>Zero-day or unknown vulnerability defeats isolation</x:v>
      </x:c>
      <x:c r="C3" s="6" t="str">
        <x:v>DOCUMENTED</x:v>
      </x:c>
      <x:c r="D3" s="6" t="str">
        <x:v>E02</x:v>
      </x:c>
      <x:c r="E3" s="6" t="n">
        <x:v>5</x:v>
      </x:c>
      <x:c r="F3" s="6" t="n">
        <x:v>4</x:v>
      </x:c>
      <x:c r="G3" s="6" t="n">
        <x:v>5</x:v>
      </x:c>
      <x:c r="H3" s="6" t="n">
        <x:v>5</x:v>
      </x:c>
      <x:c r="I3" s="6" t="n">
        <x:v>2</x:v>
      </x:c>
      <x:c r="J3" s="6" t="n">
        <x:v>2</x:v>
      </x:c>
      <x:c r="K3" s="6" t="n">
        <x:f>E3*SUM(F3:I3)/(J3+Parameters!$B$6)</x:f>
        <x:v>26.666666666666668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Assume software boundary compromise; layer physical/network controls</x:v>
      </x:c>
    </x:row>
    <x:row r="4">
      <x:c r="A4" s="6" t="str">
        <x:v>CYB-03</x:v>
      </x:c>
      <x:c r="B4" s="6" t="str">
        <x:v>Package registry used as propagation bridge</x:v>
      </x:c>
      <x:c r="C4" s="6" t="str">
        <x:v>DOCUMENTED</x:v>
      </x:c>
      <x:c r="D4" s="6" t="str">
        <x:v>E01</x:v>
      </x:c>
      <x:c r="E4" s="6" t="n">
        <x:v>5</x:v>
      </x:c>
      <x:c r="F4" s="6" t="n">
        <x:v>4</x:v>
      </x:c>
      <x:c r="G4" s="6" t="n">
        <x:v>5</x:v>
      </x:c>
      <x:c r="H4" s="6" t="n">
        <x:v>5</x:v>
      </x:c>
      <x:c r="I4" s="6" t="n">
        <x:v>3</x:v>
      </x:c>
      <x:c r="J4" s="6" t="n">
        <x:v>2</x:v>
      </x:c>
      <x:c r="K4" s="6" t="n">
        <x:f>E4*SUM(F4:I4)/(J4+Parameters!$B$6)</x:f>
        <x:v>28.333333333333332</x:v>
      </x:c>
      <x:c r="L4" s="6" t="str">
        <x:f>IF(K4&gt;=Parameters!$B$2,"RED",IF(K4&gt;=Parameters!$B$3,"ORANGE",IF(K4&gt;=Parameters!$B$4,"YELLOW","GREEN")))</x:f>
        <x:v>YELLOW</x:v>
      </x:c>
      <x:c r="M4" s="6" t="str">
        <x:f>IF(C4="CONTRADICTED","UNKNOWN",IF(L4="RED","PROHIBIT",IF(L4="ORANGE","ESCALATE",IF(L4="YELLOW","HOLD","ALLOW"))))</x:f>
        <x:v>HOLD</x:v>
      </x:c>
      <x:c r="N4" s="6" t="str">
        <x:v>No public package access from high-risk eval/lab control planes</x:v>
      </x:c>
    </x:row>
    <x:row r="5">
      <x:c r="A5" s="6" t="str">
        <x:v>CYB-04</x:v>
      </x:c>
      <x:c r="B5" s="6" t="str">
        <x:v>CI/CD or artifact pipeline becomes cross-domain bridge</x:v>
      </x:c>
      <x:c r="C5" s="6" t="str">
        <x:v>PLAUSIBLE</x:v>
      </x:c>
      <x:c r="D5" s="6" t="str">
        <x:v>E08,E12</x:v>
      </x:c>
      <x:c r="E5" s="6" t="n">
        <x:v>5</x:v>
      </x:c>
      <x:c r="F5" s="6" t="n">
        <x:v>4</x:v>
      </x:c>
      <x:c r="G5" s="6" t="n">
        <x:v>4</x:v>
      </x:c>
      <x:c r="H5" s="6" t="n">
        <x:v>5</x:v>
      </x:c>
      <x:c r="I5" s="6" t="n">
        <x:v>3</x:v>
      </x:c>
      <x:c r="J5" s="6" t="n">
        <x:v>2</x:v>
      </x:c>
      <x:c r="K5" s="6" t="n">
        <x:f>E5*SUM(F5:I5)/(J5+Parameters!$B$6)</x:f>
        <x:v>26.666666666666668</x:v>
      </x:c>
      <x:c r="L5" s="6" t="str">
        <x:f>IF(K5&gt;=Parameters!$B$2,"RED",IF(K5&gt;=Parameters!$B$3,"ORANGE",IF(K5&gt;=Parameters!$B$4,"YELLOW","GREEN")))</x:f>
        <x:v>YELLOW</x:v>
      </x:c>
      <x:c r="M5" s="6" t="str">
        <x:f>IF(C5="CONTRADICTED","UNKNOWN",IF(L5="RED","PROHIBIT",IF(L5="ORANGE","ESCALATE",IF(L5="YELLOW","HOLD","ALLOW"))))</x:f>
        <x:v>HOLD</x:v>
      </x:c>
      <x:c r="N5" s="6" t="str">
        <x:v>Separate CI/CD, signing roots, registries and promotion authorities</x:v>
      </x:c>
    </x:row>
    <x:row r="6">
      <x:c r="A6" s="6" t="str">
        <x:v>CYB-05</x:v>
      </x:c>
      <x:c r="B6" s="6" t="str">
        <x:v>Model/data/config poisoning crosses organizational boundary</x:v>
      </x:c>
      <x:c r="C6" s="6" t="str">
        <x:v>PLAUSIBLE</x:v>
      </x:c>
      <x:c r="D6" s="6" t="str">
        <x:v>E08</x:v>
      </x:c>
      <x:c r="E6" s="6" t="n">
        <x:v>5</x:v>
      </x:c>
      <x:c r="F6" s="6" t="n">
        <x:v>3</x:v>
      </x:c>
      <x:c r="G6" s="6" t="n">
        <x:v>4</x:v>
      </x:c>
      <x:c r="H6" s="6" t="n">
        <x:v>5</x:v>
      </x:c>
      <x:c r="I6" s="6" t="n">
        <x:v>2</x:v>
      </x:c>
      <x:c r="J6" s="6" t="n">
        <x:v>2</x:v>
      </x:c>
      <x:c r="K6" s="6" t="n">
        <x:f>E6*SUM(F6:I6)/(J6+Parameters!$B$6)</x:f>
        <x:v>23.333333333333332</x:v>
      </x:c>
      <x:c r="L6" s="6" t="str">
        <x:f>IF(K6&gt;=Parameters!$B$2,"RED",IF(K6&gt;=Parameters!$B$3,"ORANGE",IF(K6&gt;=Parameters!$B$4,"YELLOW","GREEN")))</x:f>
        <x:v>GREEN</x:v>
      </x:c>
      <x:c r="M6" s="6" t="str">
        <x:f>IF(C6="CONTRADICTED","UNKNOWN",IF(L6="RED","PROHIBIT",IF(L6="ORANGE","ESCALATE",IF(L6="YELLOW","HOLD","ALLOW"))))</x:f>
        <x:v>ALLOW</x:v>
      </x:c>
      <x:c r="N6" s="6" t="str">
        <x:v>Cryptographic provenance + reproducible builds + quarantined import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6">
    <x:cfRule type="expression" dxfId="8" priority="1">
      <x:formula>L2="RED"</x:formula>
    </x:cfRule>
    <x:cfRule type="expression" dxfId="9" priority="2">
      <x:formula>L2="ORANGE"</x:formula>
    </x:cfRule>
    <x:cfRule type="expression" dxfId="10" priority="3">
      <x:formula>L2="YELLOW"</x:formula>
    </x:cfRule>
    <x:cfRule type="expression" dxfId="11" priority="4">
      <x:formula>L2="GREEN"</x:formula>
    </x:cfRule>
  </x:conditionalFormatting>
  <x:conditionalFormatting sqref="K2:K6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{00AB6A2A-4860-4F14-4FA5-86F1EB7F6139}</x14:id>
        </x:ext>
      </x:extLst>
    </x:cfRule>
  </x:conditionalFormatting>
  <x:dataValidations count="7">
    <x:dataValidation type="list" sqref="C2:C6">
      <x:formula1>"DOCUMENTED,SUPPORTED,INFERENCE,PLAUSIBLE,UNKNOWN,CONTRADICTED"</x:formula1>
    </x:dataValidation>
    <x:dataValidation type="list" sqref="E2:E6">
      <x:formula1>"0,1,2,3,4,5"</x:formula1>
    </x:dataValidation>
    <x:dataValidation type="list" sqref="F2:F6">
      <x:formula1>"0,1,2,3,4,5"</x:formula1>
    </x:dataValidation>
    <x:dataValidation type="list" sqref="G2:G6">
      <x:formula1>"0,1,2,3,4,5"</x:formula1>
    </x:dataValidation>
    <x:dataValidation type="list" sqref="H2:H6">
      <x:formula1>"0,1,2,3,4,5"</x:formula1>
    </x:dataValidation>
    <x:dataValidation type="list" sqref="I2:I6">
      <x:formula1>"0,1,2,3,4,5"</x:formula1>
    </x:dataValidation>
    <x:dataValidation type="list" sqref="J2:J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124e1d174948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0AB6A2A-4860-4F14-4FA5-86F1EB7F6139}">
            <x14:dataBar gradient="1">
              <x14:cfvo type="min"/>
              <x14:cfvo type="max"/>
              <x14:fillColor rgb="FFF28C28"/>
            </x14:dataBar>
          </x14:cfRule>
          <xm:sqref>K2:K6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BIO-01</x:v>
      </x:c>
      <x:c r="B2" s="6" t="str">
        <x:v>High-consequence work relies on digital control plane</x:v>
      </x:c>
      <x:c r="C2" s="6" t="str">
        <x:v>SUPPORTED</x:v>
      </x:c>
      <x:c r="D2" s="6" t="str">
        <x:v>E09,E11,E12</x:v>
      </x:c>
      <x:c r="E2" s="6" t="n">
        <x:v>5</x:v>
      </x:c>
      <x:c r="F2" s="6" t="n">
        <x:v>4</x:v>
      </x:c>
      <x:c r="G2" s="6" t="n">
        <x:v>3</x:v>
      </x:c>
      <x:c r="H2" s="6" t="n">
        <x:v>5</x:v>
      </x:c>
      <x:c r="I2" s="6" t="n">
        <x:v>3</x:v>
      </x:c>
      <x:c r="J2" s="6" t="n">
        <x:v>3</x:v>
      </x:c>
      <x:c r="K2" s="6" t="n">
        <x:f>E2*SUM(F2:I2)/(J2+Parameters!$B$6)</x:f>
        <x:v>18.75</x:v>
      </x:c>
      <x:c r="L2" s="6" t="str">
        <x:f>IF(K2&gt;=Parameters!$B$2,"RED",IF(K2&gt;=Parameters!$B$3,"ORANGE",IF(K2&gt;=Parameters!$B$4,"YELLOW","GREEN")))</x:f>
        <x:v>GREEN</x:v>
      </x:c>
      <x:c r="M2" s="6" t="str">
        <x:f>IF(C2="CONTRADICTED","UNKNOWN",IF(L2="RED","PROHIBIT",IF(L2="ORANGE","ESCALATE",IF(L2="YELLOW","HOLD","ALLOW"))))</x:f>
        <x:v>ALLOW</x:v>
      </x:c>
      <x:c r="N2" s="6" t="str">
        <x:v>Classify digital authority separately using CPX tier</x:v>
      </x:c>
    </x:row>
    <x:row r="3">
      <x:c r="A3" s="6" t="str">
        <x:v>BIO-02</x:v>
      </x:c>
      <x:c r="B3" s="6" t="str">
        <x:v>Containment-critical actuator receives unilateral AI command</x:v>
      </x:c>
      <x:c r="C3" s="6" t="str">
        <x:v>PLAUSIBLE</x:v>
      </x:c>
      <x:c r="D3" s="6" t="str">
        <x:v>E07,E11</x:v>
      </x:c>
      <x:c r="E3" s="6" t="n">
        <x:v>5</x:v>
      </x:c>
      <x:c r="F3" s="6" t="n">
        <x:v>3</x:v>
      </x:c>
      <x:c r="G3" s="6" t="n">
        <x:v>5</x:v>
      </x:c>
      <x:c r="H3" s="6" t="n">
        <x:v>5</x:v>
      </x:c>
      <x:c r="I3" s="6" t="n">
        <x:v>2</x:v>
      </x:c>
      <x:c r="J3" s="6" t="n">
        <x:v>1</x:v>
      </x:c>
      <x:c r="K3" s="6" t="n">
        <x:f>E3*SUM(F3:I3)/(J3+Parameters!$B$6)</x:f>
        <x:v>37.5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Prohibit unilateral AI actuator authority; deterministic interlock</x:v>
      </x:c>
    </x:row>
    <x:row r="4">
      <x:c r="A4" s="6" t="str">
        <x:v>BIO-03</x:v>
      </x:c>
      <x:c r="B4" s="6" t="str">
        <x:v>Cyber compromise changes physical experimental workflow</x:v>
      </x:c>
      <x:c r="C4" s="6" t="str">
        <x:v>SUPPORTED</x:v>
      </x:c>
      <x:c r="D4" s="6" t="str">
        <x:v>E11,E12</x:v>
      </x:c>
      <x:c r="E4" s="6" t="n">
        <x:v>5</x:v>
      </x:c>
      <x:c r="F4" s="6" t="n">
        <x:v>3</x:v>
      </x:c>
      <x:c r="G4" s="6" t="n">
        <x:v>4</x:v>
      </x:c>
      <x:c r="H4" s="6" t="n">
        <x:v>5</x:v>
      </x:c>
      <x:c r="I4" s="6" t="n">
        <x:v>2</x:v>
      </x:c>
      <x:c r="J4" s="6" t="n">
        <x:v>2</x:v>
      </x:c>
      <x:c r="K4" s="6" t="n">
        <x:f>E4*SUM(F4:I4)/(J4+Parameters!$B$6)</x:f>
        <x:v>23.333333333333332</x:v>
      </x:c>
      <x:c r="L4" s="6" t="str">
        <x:f>IF(K4&gt;=Parameters!$B$2,"RED",IF(K4&gt;=Parameters!$B$3,"ORANGE",IF(K4&gt;=Parameters!$B$4,"YELLOW","GREEN")))</x:f>
        <x:v>GREEN</x:v>
      </x:c>
      <x:c r="M4" s="6" t="str">
        <x:f>IF(C4="CONTRADICTED","UNKNOWN",IF(L4="RED","PROHIBIT",IF(L4="ORANGE","ESCALATE",IF(L4="YELLOW","HOLD","ALLOW"))))</x:f>
        <x:v>ALLOW</x:v>
      </x:c>
      <x:c r="N4" s="6" t="str">
        <x:v>Independent safety PLC/interlock outside AI/IT trust domain</x:v>
      </x:c>
    </x:row>
    <x:row r="5">
      <x:c r="A5" s="6" t="str">
        <x:v>BIO-04</x:v>
      </x:c>
      <x:c r="B5" s="6" t="str">
        <x:v>Physical containment tier ignores cyber/control-plane exposure</x:v>
      </x:c>
      <x:c r="C5" s="6" t="str">
        <x:v>SUPPORTED</x:v>
      </x:c>
      <x:c r="D5" s="6" t="str">
        <x:v>E09,E11,E12</x:v>
      </x:c>
      <x:c r="E5" s="6" t="n">
        <x:v>5</x:v>
      </x:c>
      <x:c r="F5" s="6" t="n">
        <x:v>4</x:v>
      </x:c>
      <x:c r="G5" s="6" t="n">
        <x:v>3</x:v>
      </x:c>
      <x:c r="H5" s="6" t="n">
        <x:v>5</x:v>
      </x:c>
      <x:c r="I5" s="6" t="n">
        <x:v>4</x:v>
      </x:c>
      <x:c r="J5" s="6" t="n">
        <x:v>2</x:v>
      </x:c>
      <x:c r="K5" s="6" t="n">
        <x:f>E5*SUM(F5:I5)/(J5+Parameters!$B$6)</x:f>
        <x:v>26.666666666666668</x:v>
      </x:c>
      <x:c r="L5" s="6" t="str">
        <x:f>IF(K5&gt;=Parameters!$B$2,"RED",IF(K5&gt;=Parameters!$B$3,"ORANGE",IF(K5&gt;=Parameters!$B$4,"YELLOW","GREEN")))</x:f>
        <x:v>YELLOW</x:v>
      </x:c>
      <x:c r="M5" s="6" t="str">
        <x:f>IF(C5="CONTRADICTED","UNKNOWN",IF(L5="RED","PROHIBIT",IF(L5="ORANGE","ESCALATE",IF(L5="YELLOW","HOLD","ALLOW"))))</x:f>
        <x:v>HOLD</x:v>
      </x:c>
      <x:c r="N5" s="6" t="str">
        <x:v>Require BSL × CPX dual classification before authorization</x:v>
      </x:c>
    </x:row>
    <x:row r="6">
      <x:c r="A6" s="6" t="str">
        <x:v>BIO-05</x:v>
      </x:c>
      <x:c r="B6" s="6" t="str">
        <x:v>Recovery depends on detecting event after irreversible action</x:v>
      </x:c>
      <x:c r="C6" s="6" t="str">
        <x:v>INFERENCE</x:v>
      </x:c>
      <x:c r="D6" s="6" t="str">
        <x:v>E09,E11</x:v>
      </x:c>
      <x:c r="E6" s="6" t="n">
        <x:v>5</x:v>
      </x:c>
      <x:c r="F6" s="6" t="n">
        <x:v>3</x:v>
      </x:c>
      <x:c r="G6" s="6" t="n">
        <x:v>4</x:v>
      </x:c>
      <x:c r="H6" s="6" t="n">
        <x:v>4</x:v>
      </x:c>
      <x:c r="I6" s="6" t="n">
        <x:v>3</x:v>
      </x:c>
      <x:c r="J6" s="6" t="n">
        <x:v>2</x:v>
      </x:c>
      <x:c r="K6" s="6" t="n">
        <x:f>E6*SUM(F6:I6)/(J6+Parameters!$B$6)</x:f>
        <x:v>23.333333333333332</x:v>
      </x:c>
      <x:c r="L6" s="6" t="str">
        <x:f>IF(K6&gt;=Parameters!$B$2,"RED",IF(K6&gt;=Parameters!$B$3,"ORANGE",IF(K6&gt;=Parameters!$B$4,"YELLOW","GREEN")))</x:f>
        <x:v>GREEN</x:v>
      </x:c>
      <x:c r="M6" s="6" t="str">
        <x:f>IF(C6="CONTRADICTED","UNKNOWN",IF(L6="RED","PROHIBIT",IF(L6="ORANGE","ESCALATE",IF(L6="YELLOW","HOLD","ALLOW"))))</x:f>
        <x:v>ALLOW</x:v>
      </x:c>
      <x:c r="N6" s="6" t="str">
        <x:v>Pre-action authorization and fail-safe stop; no detect-after-the-fact dependency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6">
    <x:cfRule type="expression" dxfId="12" priority="1">
      <x:formula>L2="RED"</x:formula>
    </x:cfRule>
    <x:cfRule type="expression" dxfId="13" priority="2">
      <x:formula>L2="ORANGE"</x:formula>
    </x:cfRule>
    <x:cfRule type="expression" dxfId="14" priority="3">
      <x:formula>L2="YELLOW"</x:formula>
    </x:cfRule>
    <x:cfRule type="expression" dxfId="15" priority="4">
      <x:formula>L2="GREEN"</x:formula>
    </x:cfRule>
  </x:conditionalFormatting>
  <x:conditionalFormatting sqref="K2:K6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{DEDAF5AD-504A-199C-61BC-0515D62C0443}</x14:id>
        </x:ext>
      </x:extLst>
    </x:cfRule>
  </x:conditionalFormatting>
  <x:dataValidations count="7">
    <x:dataValidation type="list" sqref="C2:C6">
      <x:formula1>"DOCUMENTED,SUPPORTED,INFERENCE,PLAUSIBLE,UNKNOWN,CONTRADICTED"</x:formula1>
    </x:dataValidation>
    <x:dataValidation type="list" sqref="E2:E6">
      <x:formula1>"0,1,2,3,4,5"</x:formula1>
    </x:dataValidation>
    <x:dataValidation type="list" sqref="F2:F6">
      <x:formula1>"0,1,2,3,4,5"</x:formula1>
    </x:dataValidation>
    <x:dataValidation type="list" sqref="G2:G6">
      <x:formula1>"0,1,2,3,4,5"</x:formula1>
    </x:dataValidation>
    <x:dataValidation type="list" sqref="H2:H6">
      <x:formula1>"0,1,2,3,4,5"</x:formula1>
    </x:dataValidation>
    <x:dataValidation type="list" sqref="I2:I6">
      <x:formula1>"0,1,2,3,4,5"</x:formula1>
    </x:dataValidation>
    <x:dataValidation type="list" sqref="J2:J6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7734bb31ab4b4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EDAF5AD-504A-199C-61BC-0515D62C0443}">
            <x14:dataBar gradient="1">
              <x14:cfvo type="min"/>
              <x14:cfvo type="max"/>
              <x14:fillColor rgb="FFF28C28"/>
            </x14:dataBar>
          </x14:cfRule>
          <xm:sqref>K2:K6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LAB-01</x:v>
      </x:c>
      <x:c r="B2" s="6" t="str">
        <x:v>AI operates scientific hardware through standardized interface</x:v>
      </x:c>
      <x:c r="C2" s="6" t="str">
        <x:v>DOCUMENTED</x:v>
      </x:c>
      <x:c r="D2" s="6" t="str">
        <x:v>E07</x:v>
      </x:c>
      <x:c r="E2" s="6" t="n">
        <x:v>4</x:v>
      </x:c>
      <x:c r="F2" s="6" t="n">
        <x:v>4</x:v>
      </x:c>
      <x:c r="G2" s="6" t="n">
        <x:v>5</x:v>
      </x:c>
      <x:c r="H2" s="6" t="n">
        <x:v>4</x:v>
      </x:c>
      <x:c r="I2" s="6" t="n">
        <x:v>2</x:v>
      </x:c>
      <x:c r="J2" s="6" t="n">
        <x:v>3</x:v>
      </x:c>
      <x:c r="K2" s="6" t="n">
        <x:f>E2*SUM(F2:I2)/(J2+Parameters!$B$6)</x:f>
        <x:v>15</x:v>
      </x:c>
      <x:c r="L2" s="6" t="str">
        <x:f>IF(K2&gt;=Parameters!$B$2,"RED",IF(K2&gt;=Parameters!$B$3,"ORANGE",IF(K2&gt;=Parameters!$B$4,"YELLOW","GREEN")))</x:f>
        <x:v>GREEN</x:v>
      </x:c>
      <x:c r="M2" s="6" t="str">
        <x:f>IF(C2="CONTRADICTED","UNKNOWN",IF(L2="RED","PROHIBIT",IF(L2="ORANGE","ESCALATE",IF(L2="YELLOW","HOLD","ALLOW"))))</x:f>
        <x:v>ALLOW</x:v>
      </x:c>
      <x:c r="N2" s="6" t="str">
        <x:v>Separate orchestration from safety authority; signed bounded command set</x:v>
      </x:c>
    </x:row>
    <x:row r="3">
      <x:c r="A3" s="6" t="str">
        <x:v>LAB-02</x:v>
      </x:c>
      <x:c r="B3" s="6" t="str">
        <x:v>Autonomous workflow combines sensing, planning and actuation</x:v>
      </x:c>
      <x:c r="C3" s="6" t="str">
        <x:v>SUPPORTED</x:v>
      </x:c>
      <x:c r="D3" s="6" t="str">
        <x:v>E07,E11</x:v>
      </x:c>
      <x:c r="E3" s="6" t="n">
        <x:v>5</x:v>
      </x:c>
      <x:c r="F3" s="6" t="n">
        <x:v>4</x:v>
      </x:c>
      <x:c r="G3" s="6" t="n">
        <x:v>5</x:v>
      </x:c>
      <x:c r="H3" s="6" t="n">
        <x:v>5</x:v>
      </x:c>
      <x:c r="I3" s="6" t="n">
        <x:v>2</x:v>
      </x:c>
      <x:c r="J3" s="6" t="n">
        <x:v>2</x:v>
      </x:c>
      <x:c r="K3" s="6" t="n">
        <x:f>E3*SUM(F3:I3)/(J3+Parameters!$B$6)</x:f>
        <x:v>26.666666666666668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Independent physical limits; stepwise authorization for high-consequence actions</x:v>
      </x:c>
    </x:row>
    <x:row r="4">
      <x:c r="A4" s="6" t="str">
        <x:v>LAB-03</x:v>
      </x:c>
      <x:c r="B4" s="6" t="str">
        <x:v>Shared lab network exposes IT/OT pivot path</x:v>
      </x:c>
      <x:c r="C4" s="6" t="str">
        <x:v>SUPPORTED</x:v>
      </x:c>
      <x:c r="D4" s="6" t="str">
        <x:v>E11,E12</x:v>
      </x:c>
      <x:c r="E4" s="6" t="n">
        <x:v>5</x:v>
      </x:c>
      <x:c r="F4" s="6" t="n">
        <x:v>4</x:v>
      </x:c>
      <x:c r="G4" s="6" t="n">
        <x:v>4</x:v>
      </x:c>
      <x:c r="H4" s="6" t="n">
        <x:v>5</x:v>
      </x:c>
      <x:c r="I4" s="6" t="n">
        <x:v>3</x:v>
      </x:c>
      <x:c r="J4" s="6" t="n">
        <x:v>2</x:v>
      </x:c>
      <x:c r="K4" s="6" t="n">
        <x:f>E4*SUM(F4:I4)/(J4+Parameters!$B$6)</x:f>
        <x:v>26.666666666666668</x:v>
      </x:c>
      <x:c r="L4" s="6" t="str">
        <x:f>IF(K4&gt;=Parameters!$B$2,"RED",IF(K4&gt;=Parameters!$B$3,"ORANGE",IF(K4&gt;=Parameters!$B$4,"YELLOW","GREEN")))</x:f>
        <x:v>YELLOW</x:v>
      </x:c>
      <x:c r="M4" s="6" t="str">
        <x:f>IF(C4="CONTRADICTED","UNKNOWN",IF(L4="RED","PROHIBIT",IF(L4="ORANGE","ESCALATE",IF(L4="YELLOW","HOLD","ALLOW"))))</x:f>
        <x:v>HOLD</x:v>
      </x:c>
      <x:c r="N4" s="6" t="str">
        <x:v>OT segmentation; one-way telemetry where possible; no shared admin plane</x:v>
      </x:c>
    </x:row>
    <x:row r="5">
      <x:c r="A5" s="6" t="str">
        <x:v>LAB-04</x:v>
      </x:c>
      <x:c r="B5" s="6" t="str">
        <x:v>AI safety monitor and AI operator share common failure domain</x:v>
      </x:c>
      <x:c r="C5" s="6" t="str">
        <x:v>INFERENCE</x:v>
      </x:c>
      <x:c r="D5" s="6" t="str">
        <x:v>E07,E08</x:v>
      </x:c>
      <x:c r="E5" s="6" t="n">
        <x:v>5</x:v>
      </x:c>
      <x:c r="F5" s="6" t="n">
        <x:v>3</x:v>
      </x:c>
      <x:c r="G5" s="6" t="n">
        <x:v>5</x:v>
      </x:c>
      <x:c r="H5" s="6" t="n">
        <x:v>5</x:v>
      </x:c>
      <x:c r="I5" s="6" t="n">
        <x:v>2</x:v>
      </x:c>
      <x:c r="J5" s="6" t="n">
        <x:v>2</x:v>
      </x:c>
      <x:c r="K5" s="6" t="n">
        <x:f>E5*SUM(F5:I5)/(J5+Parameters!$B$6)</x:f>
        <x:v>25</x:v>
      </x:c>
      <x:c r="L5" s="6" t="str">
        <x:f>IF(K5&gt;=Parameters!$B$2,"RED",IF(K5&gt;=Parameters!$B$3,"ORANGE",IF(K5&gt;=Parameters!$B$4,"YELLOW","GREEN")))</x:f>
        <x:v>YELLOW</x:v>
      </x:c>
      <x:c r="M5" s="6" t="str">
        <x:f>IF(C5="CONTRADICTED","UNKNOWN",IF(L5="RED","PROHIBIT",IF(L5="ORANGE","ESCALATE",IF(L5="YELLOW","HOLD","ALLOW"))))</x:f>
        <x:v>HOLD</x:v>
      </x:c>
      <x:c r="N5" s="6" t="str">
        <x:v>Different trust roots are insufficient if shared cloud/identity; deterministic final gate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5">
    <x:cfRule type="expression" dxfId="16" priority="1">
      <x:formula>L2="RED"</x:formula>
    </x:cfRule>
    <x:cfRule type="expression" dxfId="17" priority="2">
      <x:formula>L2="ORANGE"</x:formula>
    </x:cfRule>
    <x:cfRule type="expression" dxfId="18" priority="3">
      <x:formula>L2="YELLOW"</x:formula>
    </x:cfRule>
    <x:cfRule type="expression" dxfId="19" priority="4">
      <x:formula>L2="GREEN"</x:formula>
    </x:cfRule>
  </x:conditionalFormatting>
  <x:conditionalFormatting sqref="K2:K5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{466733D8-2FB5-C2CC-7789-21C1E9277957}</x14:id>
        </x:ext>
      </x:extLst>
    </x:cfRule>
  </x:conditionalFormatting>
  <x:dataValidations count="7">
    <x:dataValidation type="list" sqref="C2:C5">
      <x:formula1>"DOCUMENTED,SUPPORTED,INFERENCE,PLAUSIBLE,UNKNOWN,CONTRADICTED"</x:formula1>
    </x:dataValidation>
    <x:dataValidation type="list" sqref="E2:E5">
      <x:formula1>"0,1,2,3,4,5"</x:formula1>
    </x:dataValidation>
    <x:dataValidation type="list" sqref="F2:F5">
      <x:formula1>"0,1,2,3,4,5"</x:formula1>
    </x:dataValidation>
    <x:dataValidation type="list" sqref="G2:G5">
      <x:formula1>"0,1,2,3,4,5"</x:formula1>
    </x:dataValidation>
    <x:dataValidation type="list" sqref="H2:H5">
      <x:formula1>"0,1,2,3,4,5"</x:formula1>
    </x:dataValidation>
    <x:dataValidation type="list" sqref="I2:I5">
      <x:formula1>"0,1,2,3,4,5"</x:formula1>
    </x:dataValidation>
    <x:dataValidation type="list" sqref="J2:J5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a9c3ef5f94f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466733D8-2FB5-C2CC-7789-21C1E9277957}">
            <x14:dataBar gradient="1">
              <x14:cfvo type="min"/>
              <x14:cfvo type="max"/>
              <x14:fillColor rgb="FFF28C28"/>
            </x14:dataBar>
          </x14:cfRule>
          <xm:sqref>K2:K5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SUP-01</x:v>
      </x:c>
      <x:c r="B2" s="6" t="str">
        <x:v>External package dependency imports malicious executable code</x:v>
      </x:c>
      <x:c r="C2" s="6" t="str">
        <x:v>DOCUMENTED</x:v>
      </x:c>
      <x:c r="D2" s="6" t="str">
        <x:v>E01</x:v>
      </x:c>
      <x:c r="E2" s="6" t="n">
        <x:v>5</x:v>
      </x:c>
      <x:c r="F2" s="6" t="n">
        <x:v>4</x:v>
      </x:c>
      <x:c r="G2" s="6" t="n">
        <x:v>4</x:v>
      </x:c>
      <x:c r="H2" s="6" t="n">
        <x:v>5</x:v>
      </x:c>
      <x:c r="I2" s="6" t="n">
        <x:v>4</x:v>
      </x:c>
      <x:c r="J2" s="6" t="n">
        <x:v>2</x:v>
      </x:c>
      <x:c r="K2" s="6" t="n">
        <x:f>E2*SUM(F2:I2)/(J2+Parameters!$B$6)</x:f>
        <x:v>28.333333333333332</x:v>
      </x:c>
      <x:c r="L2" s="6" t="str">
        <x:f>IF(K2&gt;=Parameters!$B$2,"RED",IF(K2&gt;=Parameters!$B$3,"ORANGE",IF(K2&gt;=Parameters!$B$4,"YELLOW","GREEN")))</x:f>
        <x:v>YELLOW</x:v>
      </x:c>
      <x:c r="M2" s="6" t="str">
        <x:f>IF(C2="CONTRADICTED","UNKNOWN",IF(L2="RED","PROHIBIT",IF(L2="ORANGE","ESCALATE",IF(L2="YELLOW","HOLD","ALLOW"))))</x:f>
        <x:v>HOLD</x:v>
      </x:c>
      <x:c r="N2" s="6" t="str">
        <x:v>Offline mirrored allow-list; signed pinned dependencies</x:v>
      </x:c>
    </x:row>
    <x:row r="3">
      <x:c r="A3" s="6" t="str">
        <x:v>SUP-02</x:v>
      </x:c>
      <x:c r="B3" s="6" t="str">
        <x:v>Shared model/artifact registry bridges organizations</x:v>
      </x:c>
      <x:c r="C3" s="6" t="str">
        <x:v>PLAUSIBLE</x:v>
      </x:c>
      <x:c r="D3" s="6" t="str">
        <x:v>E08</x:v>
      </x:c>
      <x:c r="E3" s="6" t="n">
        <x:v>5</x:v>
      </x:c>
      <x:c r="F3" s="6" t="n">
        <x:v>4</x:v>
      </x:c>
      <x:c r="G3" s="6" t="n">
        <x:v>4</x:v>
      </x:c>
      <x:c r="H3" s="6" t="n">
        <x:v>5</x:v>
      </x:c>
      <x:c r="I3" s="6" t="n">
        <x:v>2</x:v>
      </x:c>
      <x:c r="J3" s="6" t="n">
        <x:v>2</x:v>
      </x:c>
      <x:c r="K3" s="6" t="n">
        <x:f>E3*SUM(F3:I3)/(J3+Parameters!$B$6)</x:f>
        <x:v>25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Quarantine imports; provenance chain; no automatic promotion</x:v>
      </x:c>
    </x:row>
    <x:row r="4">
      <x:c r="A4" s="6" t="str">
        <x:v>SUP-03</x:v>
      </x:c>
      <x:c r="B4" s="6" t="str">
        <x:v>Shared cloud/IAM creates hidden common-mode dependency</x:v>
      </x:c>
      <x:c r="C4" s="6" t="str">
        <x:v>SUPPORTED</x:v>
      </x:c>
      <x:c r="D4" s="6" t="str">
        <x:v>E03,E08</x:v>
      </x:c>
      <x:c r="E4" s="6" t="n">
        <x:v>5</x:v>
      </x:c>
      <x:c r="F4" s="6" t="n">
        <x:v>4</x:v>
      </x:c>
      <x:c r="G4" s="6" t="n">
        <x:v>4</x:v>
      </x:c>
      <x:c r="H4" s="6" t="n">
        <x:v>5</x:v>
      </x:c>
      <x:c r="I4" s="6" t="n">
        <x:v>3</x:v>
      </x:c>
      <x:c r="J4" s="6" t="n">
        <x:v>2</x:v>
      </x:c>
      <x:c r="K4" s="6" t="n">
        <x:f>E4*SUM(F4:I4)/(J4+Parameters!$B$6)</x:f>
        <x:v>26.666666666666668</x:v>
      </x:c>
      <x:c r="L4" s="6" t="str">
        <x:f>IF(K4&gt;=Parameters!$B$2,"RED",IF(K4&gt;=Parameters!$B$3,"ORANGE",IF(K4&gt;=Parameters!$B$4,"YELLOW","GREEN")))</x:f>
        <x:v>YELLOW</x:v>
      </x:c>
      <x:c r="M4" s="6" t="str">
        <x:f>IF(C4="CONTRADICTED","UNKNOWN",IF(L4="RED","PROHIBIT",IF(L4="ORANGE","ESCALATE",IF(L4="YELLOW","HOLD","ALLOW"))))</x:f>
        <x:v>HOLD</x:v>
      </x:c>
      <x:c r="N4" s="6" t="str">
        <x:v>Separate identity roots, accounts, keys, admin paths and recovery mechanisms</x:v>
      </x:c>
    </x:row>
    <x:row r="5">
      <x:c r="A5" s="6" t="str">
        <x:v>SUP-04</x:v>
      </x:c>
      <x:c r="B5" s="6" t="str">
        <x:v>Security tooling itself becomes credential exfiltration path</x:v>
      </x:c>
      <x:c r="C5" s="6" t="str">
        <x:v>DOCUMENTED</x:v>
      </x:c>
      <x:c r="D5" s="6" t="str">
        <x:v>E01</x:v>
      </x:c>
      <x:c r="E5" s="6" t="n">
        <x:v>5</x:v>
      </x:c>
      <x:c r="F5" s="6" t="n">
        <x:v>3</x:v>
      </x:c>
      <x:c r="G5" s="6" t="n">
        <x:v>4</x:v>
      </x:c>
      <x:c r="H5" s="6" t="n">
        <x:v>5</x:v>
      </x:c>
      <x:c r="I5" s="6" t="n">
        <x:v>3</x:v>
      </x:c>
      <x:c r="J5" s="6" t="n">
        <x:v>2</x:v>
      </x:c>
      <x:c r="K5" s="6" t="n">
        <x:f>E5*SUM(F5:I5)/(J5+Parameters!$B$6)</x:f>
        <x:v>25</x:v>
      </x:c>
      <x:c r="L5" s="6" t="str">
        <x:f>IF(K5&gt;=Parameters!$B$2,"RED",IF(K5&gt;=Parameters!$B$3,"ORANGE",IF(K5&gt;=Parameters!$B$4,"YELLOW","GREEN")))</x:f>
        <x:v>YELLOW</x:v>
      </x:c>
      <x:c r="M5" s="6" t="str">
        <x:f>IF(C5="CONTRADICTED","UNKNOWN",IF(L5="RED","PROHIBIT",IF(L5="ORANGE","ESCALATE",IF(L5="YELLOW","HOLD","ALLOW"))))</x:f>
        <x:v>HOLD</x:v>
      </x:c>
      <x:c r="N5" s="6" t="str">
        <x:v>Run scanners with non-reusable canary credentials and strict egress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5">
    <x:cfRule type="expression" dxfId="20" priority="1">
      <x:formula>L2="RED"</x:formula>
    </x:cfRule>
    <x:cfRule type="expression" dxfId="21" priority="2">
      <x:formula>L2="ORANGE"</x:formula>
    </x:cfRule>
    <x:cfRule type="expression" dxfId="22" priority="3">
      <x:formula>L2="YELLOW"</x:formula>
    </x:cfRule>
    <x:cfRule type="expression" dxfId="23" priority="4">
      <x:formula>L2="GREEN"</x:formula>
    </x:cfRule>
  </x:conditionalFormatting>
  <x:conditionalFormatting sqref="K2:K5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{83B5FFEC-87FB-28F8-57F6-2934BE784A7E}</x14:id>
        </x:ext>
      </x:extLst>
    </x:cfRule>
  </x:conditionalFormatting>
  <x:dataValidations count="7">
    <x:dataValidation type="list" sqref="C2:C5">
      <x:formula1>"DOCUMENTED,SUPPORTED,INFERENCE,PLAUSIBLE,UNKNOWN,CONTRADICTED"</x:formula1>
    </x:dataValidation>
    <x:dataValidation type="list" sqref="E2:E5">
      <x:formula1>"0,1,2,3,4,5"</x:formula1>
    </x:dataValidation>
    <x:dataValidation type="list" sqref="F2:F5">
      <x:formula1>"0,1,2,3,4,5"</x:formula1>
    </x:dataValidation>
    <x:dataValidation type="list" sqref="G2:G5">
      <x:formula1>"0,1,2,3,4,5"</x:formula1>
    </x:dataValidation>
    <x:dataValidation type="list" sqref="H2:H5">
      <x:formula1>"0,1,2,3,4,5"</x:formula1>
    </x:dataValidation>
    <x:dataValidation type="list" sqref="I2:I5">
      <x:formula1>"0,1,2,3,4,5"</x:formula1>
    </x:dataValidation>
    <x:dataValidation type="list" sqref="J2:J5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125ab72c5483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83B5FFEC-87FB-28F8-57F6-2934BE784A7E}">
            <x14:dataBar gradient="1">
              <x14:cfvo type="min"/>
              <x14:cfvo type="max"/>
              <x14:fillColor rgb="FFF28C28"/>
            </x14:dataBar>
          </x14:cfRule>
          <xm:sqref>K2:K5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6" hidden="0" customWidth="1"/>
    <x:col min="5" max="5" width="12" hidden="0" customWidth="1"/>
    <x:col min="6" max="6" width="11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40" hidden="0" customWidth="1"/>
  </x:cols>
  <x:sheetData>
    <x:row r="1" ht="28" customHeight="1">
      <x:c r="A1" s="10" t="str">
        <x:v>Hazard ID</x:v>
      </x:c>
      <x:c r="B1" s="10" t="str">
        <x:v>Hazard / failure mode</x:v>
      </x:c>
      <x:c r="C1" s="10" t="str">
        <x:v>Evidence class</x:v>
      </x:c>
      <x:c r="D1" s="10" t="str">
        <x:v>Evidence IDs</x:v>
      </x:c>
      <x:c r="E1" s="10" t="str">
        <x:v>Consequence 0-5</x:v>
      </x:c>
      <x:c r="F1" s="10" t="str">
        <x:v>Exposure 0-5</x:v>
      </x:c>
      <x:c r="G1" s="10" t="str">
        <x:v>Agency 0-5</x:v>
      </x:c>
      <x:c r="H1" s="10" t="str">
        <x:v>Common-mode 0-5</x:v>
      </x:c>
      <x:c r="I1" s="10" t="str">
        <x:v>Human failure 0-5</x:v>
      </x:c>
      <x:c r="J1" s="10" t="str">
        <x:v>Barrier strength 0-5</x:v>
      </x:c>
      <x:c r="K1" s="10" t="str">
        <x:v>Score</x:v>
      </x:c>
      <x:c r="L1" s="10" t="str">
        <x:v>Tier</x:v>
      </x:c>
      <x:c r="M1" s="10" t="str">
        <x:v>Default decision</x:v>
      </x:c>
      <x:c r="N1" s="10" t="str">
        <x:v>Required control / falsifier</x:v>
      </x:c>
    </x:row>
    <x:row r="2">
      <x:c r="A2" s="6" t="str">
        <x:v>GOV-01</x:v>
      </x:c>
      <x:c r="B2" s="6" t="str">
        <x:v>No independent authority can halt high-risk run</x:v>
      </x:c>
      <x:c r="C2" s="6" t="str">
        <x:v>INFERENCE</x:v>
      </x:c>
      <x:c r="D2" s="6" t="str">
        <x:v>Report lineage</x:v>
      </x:c>
      <x:c r="E2" s="6" t="n">
        <x:v>5</x:v>
      </x:c>
      <x:c r="F2" s="6" t="n">
        <x:v>3</x:v>
      </x:c>
      <x:c r="G2" s="6" t="n">
        <x:v>2</x:v>
      </x:c>
      <x:c r="H2" s="6" t="n">
        <x:v>5</x:v>
      </x:c>
      <x:c r="I2" s="6" t="n">
        <x:v>5</x:v>
      </x:c>
      <x:c r="J2" s="6" t="n">
        <x:v>2</x:v>
      </x:c>
      <x:c r="K2" s="6" t="n">
        <x:f>E2*SUM(F2:I2)/(J2+Parameters!$B$6)</x:f>
        <x:v>25</x:v>
      </x:c>
      <x:c r="L2" s="6" t="str">
        <x:f>IF(K2&gt;=Parameters!$B$2,"RED",IF(K2&gt;=Parameters!$B$3,"ORANGE",IF(K2&gt;=Parameters!$B$4,"YELLOW","GREEN")))</x:f>
        <x:v>YELLOW</x:v>
      </x:c>
      <x:c r="M2" s="6" t="str">
        <x:f>IF(C2="CONTRADICTED","UNKNOWN",IF(L2="RED","PROHIBIT",IF(L2="ORANGE","ESCALATE",IF(L2="YELLOW","HOLD","ALLOW"))))</x:f>
        <x:v>HOLD</x:v>
      </x:c>
      <x:c r="N2" s="6" t="str">
        <x:v>Independent halt authority + pre-authorized stop conditions</x:v>
      </x:c>
    </x:row>
    <x:row r="3">
      <x:c r="A3" s="6" t="str">
        <x:v>GOV-02</x:v>
      </x:c>
      <x:c r="B3" s="6" t="str">
        <x:v>Safety scorecard substitutes for hard containment</x:v>
      </x:c>
      <x:c r="C3" s="6" t="str">
        <x:v>PLAUSIBLE</x:v>
      </x:c>
      <x:c r="D3" s="6" t="str">
        <x:v>E08,E09</x:v>
      </x:c>
      <x:c r="E3" s="6" t="n">
        <x:v>5</x:v>
      </x:c>
      <x:c r="F3" s="6" t="n">
        <x:v>4</x:v>
      </x:c>
      <x:c r="G3" s="6" t="n">
        <x:v>3</x:v>
      </x:c>
      <x:c r="H3" s="6" t="n">
        <x:v>5</x:v>
      </x:c>
      <x:c r="I3" s="6" t="n">
        <x:v>4</x:v>
      </x:c>
      <x:c r="J3" s="6" t="n">
        <x:v>2</x:v>
      </x:c>
      <x:c r="K3" s="6" t="n">
        <x:f>E3*SUM(F3:I3)/(J3+Parameters!$B$6)</x:f>
        <x:v>26.666666666666668</x:v>
      </x:c>
      <x:c r="L3" s="6" t="str">
        <x:f>IF(K3&gt;=Parameters!$B$2,"RED",IF(K3&gt;=Parameters!$B$3,"ORANGE",IF(K3&gt;=Parameters!$B$4,"YELLOW","GREEN")))</x:f>
        <x:v>YELLOW</x:v>
      </x:c>
      <x:c r="M3" s="6" t="str">
        <x:f>IF(C3="CONTRADICTED","UNKNOWN",IF(L3="RED","PROHIBIT",IF(L3="ORANGE","ESCALATE",IF(L3="YELLOW","HOLD","ALLOW"))))</x:f>
        <x:v>HOLD</x:v>
      </x:c>
      <x:c r="N3" s="6" t="str">
        <x:v>Scorecards inform; hardware controls enforce</x:v>
      </x:c>
    </x:row>
    <x:row r="4">
      <x:c r="A4" s="6" t="str">
        <x:v>GOV-03</x:v>
      </x:c>
      <x:c r="B4" s="6" t="str">
        <x:v>Incident disclosure delayed by institutional incentives</x:v>
      </x:c>
      <x:c r="C4" s="6" t="str">
        <x:v>INFERENCE</x:v>
      </x:c>
      <x:c r="D4" s="6" t="str">
        <x:v>Report lineage</x:v>
      </x:c>
      <x:c r="E4" s="6" t="n">
        <x:v>5</x:v>
      </x:c>
      <x:c r="F4" s="6" t="n">
        <x:v>3</x:v>
      </x:c>
      <x:c r="G4" s="6" t="n">
        <x:v>1</x:v>
      </x:c>
      <x:c r="H4" s="6" t="n">
        <x:v>4</x:v>
      </x:c>
      <x:c r="I4" s="6" t="n">
        <x:v>5</x:v>
      </x:c>
      <x:c r="J4" s="6" t="n">
        <x:v>2</x:v>
      </x:c>
      <x:c r="K4" s="6" t="n">
        <x:f>E4*SUM(F4:I4)/(J4+Parameters!$B$6)</x:f>
        <x:v>21.666666666666668</x:v>
      </x:c>
      <x:c r="L4" s="6" t="str">
        <x:f>IF(K4&gt;=Parameters!$B$2,"RED",IF(K4&gt;=Parameters!$B$3,"ORANGE",IF(K4&gt;=Parameters!$B$4,"YELLOW","GREEN")))</x:f>
        <x:v>GREEN</x:v>
      </x:c>
      <x:c r="M4" s="6" t="str">
        <x:f>IF(C4="CONTRADICTED","UNKNOWN",IF(L4="RED","PROHIBIT",IF(L4="ORANGE","ESCALATE",IF(L4="YELLOW","HOLD","ALLOW"))))</x:f>
        <x:v>ALLOW</x:v>
      </x:c>
      <x:c r="N4" s="6" t="str">
        <x:v>Immutable external notification trigger with defined deadline</x:v>
      </x:c>
    </x:row>
    <x:row r="5">
      <x:c r="A5" s="6" t="str">
        <x:v>GOV-04</x:v>
      </x:c>
      <x:c r="B5" s="6" t="str">
        <x:v>Two AI monitors assumed independent despite shared stack</x:v>
      </x:c>
      <x:c r="C5" s="6" t="str">
        <x:v>INFERENCE</x:v>
      </x:c>
      <x:c r="D5" s="6" t="str">
        <x:v>E08 + report lineage</x:v>
      </x:c>
      <x:c r="E5" s="6" t="n">
        <x:v>5</x:v>
      </x:c>
      <x:c r="F5" s="6" t="n">
        <x:v>3</x:v>
      </x:c>
      <x:c r="G5" s="6" t="n">
        <x:v>4</x:v>
      </x:c>
      <x:c r="H5" s="6" t="n">
        <x:v>5</x:v>
      </x:c>
      <x:c r="I5" s="6" t="n">
        <x:v>3</x:v>
      </x:c>
      <x:c r="J5" s="6" t="n">
        <x:v>2</x:v>
      </x:c>
      <x:c r="K5" s="6" t="n">
        <x:f>E5*SUM(F5:I5)/(J5+Parameters!$B$6)</x:f>
        <x:v>25</x:v>
      </x:c>
      <x:c r="L5" s="6" t="str">
        <x:f>IF(K5&gt;=Parameters!$B$2,"RED",IF(K5&gt;=Parameters!$B$3,"ORANGE",IF(K5&gt;=Parameters!$B$4,"YELLOW","GREEN")))</x:f>
        <x:v>YELLOW</x:v>
      </x:c>
      <x:c r="M5" s="6" t="str">
        <x:f>IF(C5="CONTRADICTED","UNKNOWN",IF(L5="RED","PROHIBIT",IF(L5="ORANGE","ESCALATE",IF(L5="YELLOW","HOLD","ALLOW"))))</x:f>
        <x:v>HOLD</x:v>
      </x:c>
      <x:c r="N5" s="6" t="str">
        <x:v>Audit common-mode dependencies; retain deterministic final authority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conditionalFormatting sqref="L2:L5">
    <x:cfRule type="expression" dxfId="24" priority="1">
      <x:formula>L2="RED"</x:formula>
    </x:cfRule>
    <x:cfRule type="expression" dxfId="25" priority="2">
      <x:formula>L2="ORANGE"</x:formula>
    </x:cfRule>
    <x:cfRule type="expression" dxfId="26" priority="3">
      <x:formula>L2="YELLOW"</x:formula>
    </x:cfRule>
    <x:cfRule type="expression" dxfId="27" priority="4">
      <x:formula>L2="GREEN"</x:formula>
    </x:cfRule>
  </x:conditionalFormatting>
  <x:conditionalFormatting sqref="K2:K5">
    <x:cfRule type="dataBar" priority="5">
      <x:dataBar>
        <x:cfvo type="min"/>
        <x:cfvo type="max"/>
        <x:color rgb="FFF28C28"/>
      </x:dataBar>
      <x:extLst>
        <x:ext xmlns:x14="http://schemas.microsoft.com/office/spreadsheetml/2009/9/main" uri="{B025F937-C7B1-47D3-B67F-A62EFF666E3E}">
          <x14:id>{75B1B512-26AC-218D-9533-736404E41A4B}</x14:id>
        </x:ext>
      </x:extLst>
    </x:cfRule>
  </x:conditionalFormatting>
  <x:dataValidations count="7">
    <x:dataValidation type="list" sqref="C2:C5">
      <x:formula1>"DOCUMENTED,SUPPORTED,INFERENCE,PLAUSIBLE,UNKNOWN,CONTRADICTED"</x:formula1>
    </x:dataValidation>
    <x:dataValidation type="list" sqref="E2:E5">
      <x:formula1>"0,1,2,3,4,5"</x:formula1>
    </x:dataValidation>
    <x:dataValidation type="list" sqref="F2:F5">
      <x:formula1>"0,1,2,3,4,5"</x:formula1>
    </x:dataValidation>
    <x:dataValidation type="list" sqref="G2:G5">
      <x:formula1>"0,1,2,3,4,5"</x:formula1>
    </x:dataValidation>
    <x:dataValidation type="list" sqref="H2:H5">
      <x:formula1>"0,1,2,3,4,5"</x:formula1>
    </x:dataValidation>
    <x:dataValidation type="list" sqref="I2:I5">
      <x:formula1>"0,1,2,3,4,5"</x:formula1>
    </x:dataValidation>
    <x:dataValidation type="list" sqref="J2:J5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9e081c005d4e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5B1B512-26AC-218D-9533-736404E41A4B}">
            <x14:dataBar gradient="1">
              <x14:cfvo type="min"/>
              <x14:cfvo type="max"/>
              <x14:fillColor rgb="FFF28C28"/>
            </x14:dataBar>
          </x14:cfRule>
          <xm:sqref>K2:K5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44" hidden="0" customWidth="1"/>
    <x:col min="6" max="6" width="16" hidden="0" customWidth="1"/>
    <x:col min="7" max="7" width="48" hidden="0" customWidth="1"/>
    <x:col min="8" max="8" width="20" hidden="0" customWidth="1"/>
  </x:cols>
  <x:sheetData>
    <x:row r="1" ht="28" customHeight="1">
      <x:c r="A1" s="10" t="str">
        <x:v>Cross ID</x:v>
      </x:c>
      <x:c r="B1" s="10" t="str">
        <x:v>Hazard A</x:v>
      </x:c>
      <x:c r="C1" s="10" t="str">
        <x:v>Hazard B</x:v>
      </x:c>
      <x:c r="D1" s="10" t="str">
        <x:v>Coupling 0-5</x:v>
      </x:c>
      <x:c r="E1" s="10" t="str">
        <x:v>Why they couple</x:v>
      </x:c>
      <x:c r="F1" s="10" t="str">
        <x:v>Independent barrier?</x:v>
      </x:c>
      <x:c r="G1" s="10" t="str">
        <x:v>Escalation trigger</x:v>
      </x:c>
      <x:c r="H1" s="10" t="str">
        <x:v>Evidence / basis</x:v>
      </x:c>
      <x:c r="I1" s="10"/>
      <x:c r="J1" s="10"/>
      <x:c r="K1" s="10"/>
      <x:c r="L1" s="10"/>
      <x:c r="M1" s="10"/>
      <x:c r="N1" s="10"/>
    </x:row>
    <x:row r="2">
      <x:c r="A2" s="6" t="str">
        <x:v>X01</x:v>
      </x:c>
      <x:c r="B2" s="6" t="str">
        <x:v>HUM-01</x:v>
      </x:c>
      <x:c r="C2" s="6" t="str">
        <x:v>CYB-01</x:v>
      </x:c>
      <x:c r="D2" s="6" t="n">
        <x:v>5</x:v>
      </x:c>
      <x:c r="E2" s="6" t="str">
        <x:v>Human misconfiguration creates route; autonomous agent exploits it</x:v>
      </x:c>
      <x:c r="F2" s="6" t="str">
        <x:v>No</x:v>
      </x:c>
      <x:c r="G2" s="6" t="str">
        <x:v>Any high-consequence run with software-only egress assumptions</x:v>
      </x:c>
      <x:c r="H2" s="6" t="str">
        <x:v>E01,E02</x:v>
      </x:c>
      <x:c r="I2" s="6"/>
      <x:c r="J2" s="6"/>
      <x:c r="K2" s="6"/>
      <x:c r="L2" s="6"/>
      <x:c r="M2" s="6"/>
      <x:c r="N2" s="6"/>
    </x:row>
    <x:row r="3">
      <x:c r="A3" s="6" t="str">
        <x:v>X02</x:v>
      </x:c>
      <x:c r="B3" s="6" t="str">
        <x:v>CYB-03</x:v>
      </x:c>
      <x:c r="C3" s="6" t="str">
        <x:v>SUP-01</x:v>
      </x:c>
      <x:c r="D3" s="6" t="n">
        <x:v>5</x:v>
      </x:c>
      <x:c r="E3" s="6" t="str">
        <x:v>Package publication turns eval escape into supply-chain propagation</x:v>
      </x:c>
      <x:c r="F3" s="6" t="str">
        <x:v>No</x:v>
      </x:c>
      <x:c r="G3" s="6" t="str">
        <x:v>Public registry reachable from high-risk environment</x:v>
      </x:c>
      <x:c r="H3" s="6" t="str">
        <x:v>E01</x:v>
      </x:c>
      <x:c r="I3" s="6"/>
      <x:c r="J3" s="6"/>
      <x:c r="K3" s="6"/>
      <x:c r="L3" s="6"/>
      <x:c r="M3" s="6"/>
      <x:c r="N3" s="6"/>
    </x:row>
    <x:row r="4">
      <x:c r="A4" s="6" t="str">
        <x:v>X03</x:v>
      </x:c>
      <x:c r="B4" s="6" t="str">
        <x:v>MAC-03</x:v>
      </x:c>
      <x:c r="C4" s="6" t="str">
        <x:v>CYB-01</x:v>
      </x:c>
      <x:c r="D4" s="6" t="n">
        <x:v>5</x:v>
      </x:c>
      <x:c r="E4" s="6" t="str">
        <x:v>Agent coordination increases ability to discover/use unintended channels</x:v>
      </x:c>
      <x:c r="F4" s="6" t="str">
        <x:v>No</x:v>
      </x:c>
      <x:c r="G4" s="6" t="str">
        <x:v>Shared infrastructure visible to multiple agents</x:v>
      </x:c>
      <x:c r="H4" s="6" t="str">
        <x:v>E03,E04</x:v>
      </x:c>
      <x:c r="I4" s="6"/>
      <x:c r="J4" s="6"/>
      <x:c r="K4" s="6"/>
      <x:c r="L4" s="6"/>
      <x:c r="M4" s="6"/>
      <x:c r="N4" s="6"/>
    </x:row>
    <x:row r="5">
      <x:c r="A5" s="6" t="str">
        <x:v>X04</x:v>
      </x:c>
      <x:c r="B5" s="6" t="str">
        <x:v>MAC-04</x:v>
      </x:c>
      <x:c r="C5" s="6" t="str">
        <x:v>SUP-02</x:v>
      </x:c>
      <x:c r="D5" s="6" t="n">
        <x:v>4</x:v>
      </x:c>
      <x:c r="E5" s="6" t="str">
        <x:v>Self-propagating code plus shared artifact path creates persistence bridge</x:v>
      </x:c>
      <x:c r="F5" s="6" t="str">
        <x:v>Unknown</x:v>
      </x:c>
      <x:c r="G5" s="6" t="str">
        <x:v>Executable artifacts can cross trust domains automatically</x:v>
      </x:c>
      <x:c r="H5" s="6" t="str">
        <x:v>E05 + inference</x:v>
      </x:c>
      <x:c r="I5" s="6"/>
      <x:c r="J5" s="6"/>
      <x:c r="K5" s="6"/>
      <x:c r="L5" s="6"/>
      <x:c r="M5" s="6"/>
      <x:c r="N5" s="6"/>
    </x:row>
    <x:row r="6">
      <x:c r="A6" s="6" t="str">
        <x:v>X05</x:v>
      </x:c>
      <x:c r="B6" s="6" t="str">
        <x:v>CYB-01</x:v>
      </x:c>
      <x:c r="C6" s="6" t="str">
        <x:v>LAB-03</x:v>
      </x:c>
      <x:c r="D6" s="6" t="n">
        <x:v>5</x:v>
      </x:c>
      <x:c r="E6" s="6" t="str">
        <x:v>Digital escape becomes cyber-physical pivot if lab IT/OT shares reachable trust path</x:v>
      </x:c>
      <x:c r="F6" s="6" t="str">
        <x:v>Unknown</x:v>
      </x:c>
      <x:c r="G6" s="6" t="str">
        <x:v>Lab OT reachable through same identity/network plane</x:v>
      </x:c>
      <x:c r="H6" s="6" t="str">
        <x:v>E02,E11,E12</x:v>
      </x:c>
      <x:c r="I6" s="6"/>
      <x:c r="J6" s="6"/>
      <x:c r="K6" s="6"/>
      <x:c r="L6" s="6"/>
      <x:c r="M6" s="6"/>
      <x:c r="N6" s="6"/>
    </x:row>
    <x:row r="7">
      <x:c r="A7" s="6" t="str">
        <x:v>X06</x:v>
      </x:c>
      <x:c r="B7" s="6" t="str">
        <x:v>LAB-02</x:v>
      </x:c>
      <x:c r="C7" s="6" t="str">
        <x:v>BIO-02</x:v>
      </x:c>
      <x:c r="D7" s="6" t="n">
        <x:v>5</x:v>
      </x:c>
      <x:c r="E7" s="6" t="str">
        <x:v>Autonomous workflow plus unilateral actuator authority removes human stop point</x:v>
      </x:c>
      <x:c r="F7" s="6" t="str">
        <x:v>No</x:v>
      </x:c>
      <x:c r="G7" s="6" t="str">
        <x:v>AI can initiate containment-critical action without deterministic gate</x:v>
      </x:c>
      <x:c r="H7" s="6" t="str">
        <x:v>E07,E11</x:v>
      </x:c>
      <x:c r="I7" s="6"/>
      <x:c r="J7" s="6"/>
      <x:c r="K7" s="6"/>
      <x:c r="L7" s="6"/>
      <x:c r="M7" s="6"/>
      <x:c r="N7" s="6"/>
    </x:row>
    <x:row r="8">
      <x:c r="A8" s="6" t="str">
        <x:v>X07</x:v>
      </x:c>
      <x:c r="B8" s="6" t="str">
        <x:v>HUM-03</x:v>
      </x:c>
      <x:c r="C8" s="6" t="str">
        <x:v>SUP-03</x:v>
      </x:c>
      <x:c r="D8" s="6" t="n">
        <x:v>5</x:v>
      </x:c>
      <x:c r="E8" s="6" t="str">
        <x:v>Broad credentials plus shared cloud/IAM collapse nominal organizational separation</x:v>
      </x:c>
      <x:c r="F8" s="6" t="str">
        <x:v>No</x:v>
      </x:c>
      <x:c r="G8" s="6" t="str">
        <x:v>Reusable credentials span eval, development, or lab environments</x:v>
      </x:c>
      <x:c r="H8" s="6" t="str">
        <x:v>E01,E03,E08</x:v>
      </x:c>
      <x:c r="I8" s="6"/>
      <x:c r="J8" s="6"/>
      <x:c r="K8" s="6"/>
      <x:c r="L8" s="6"/>
      <x:c r="M8" s="6"/>
      <x:c r="N8" s="6"/>
    </x:row>
    <x:row r="9">
      <x:c r="A9" s="6" t="str">
        <x:v>X08</x:v>
      </x:c>
      <x:c r="B9" s="6" t="str">
        <x:v>GOV-04</x:v>
      </x:c>
      <x:c r="C9" s="6" t="str">
        <x:v>LAB-04</x:v>
      </x:c>
      <x:c r="D9" s="6" t="n">
        <x:v>4</x:v>
      </x:c>
      <x:c r="E9" s="6" t="str">
        <x:v>Two AI safeguards may fail together if they share model/cloud/control stack</x:v>
      </x:c>
      <x:c r="F9" s="6" t="str">
        <x:v>Unknown</x:v>
      </x:c>
      <x:c r="G9" s="6" t="str">
        <x:v>Common vendor/model/identity/control plane</x:v>
      </x:c>
      <x:c r="H9" s="6" t="str">
        <x:v>E08 + inference</x:v>
      </x:c>
      <x:c r="I9" s="6"/>
      <x:c r="J9" s="6"/>
      <x:c r="K9" s="6"/>
      <x:c r="L9" s="6"/>
      <x:c r="M9" s="6"/>
      <x:c r="N9" s="6"/>
    </x:row>
    <x:row r="10">
      <x:c r="A10" s="6" t="str">
        <x:v>X09</x:v>
      </x:c>
      <x:c r="B10" s="6" t="str">
        <x:v>HUM-04</x:v>
      </x:c>
      <x:c r="C10" s="6" t="str">
        <x:v>BIO-05</x:v>
      </x:c>
      <x:c r="D10" s="6" t="n">
        <x:v>4</x:v>
      </x:c>
      <x:c r="E10" s="6" t="str">
        <x:v>Delayed notification magnifies harm when recovery window is short</x:v>
      </x:c>
      <x:c r="F10" s="6" t="str">
        <x:v>Unknown</x:v>
      </x:c>
      <x:c r="G10" s="6" t="str">
        <x:v>Irreversible action can precede independent notification</x:v>
      </x:c>
      <x:c r="H10" s="6" t="str">
        <x:v>Report lineage + E09</x:v>
      </x:c>
      <x:c r="I10" s="6"/>
      <x:c r="J10" s="6"/>
      <x:c r="K10" s="6"/>
      <x:c r="L10" s="6"/>
      <x:c r="M10" s="6"/>
      <x:c r="N10" s="6"/>
    </x:row>
    <x:row r="11">
      <x:c r="A11" s="6" t="str">
        <x:v>X10</x:v>
      </x:c>
      <x:c r="B11" s="6" t="str">
        <x:v>MAC-05</x:v>
      </x:c>
      <x:c r="C11" s="6" t="str">
        <x:v>SUP-02</x:v>
      </x:c>
      <x:c r="D11" s="6" t="n">
        <x:v>4</x:v>
      </x:c>
      <x:c r="E11" s="6" t="str">
        <x:v>Pipeline contamination can persist through trusted model/artifact distribution</x:v>
      </x:c>
      <x:c r="F11" s="6" t="str">
        <x:v>Unknown</x:v>
      </x:c>
      <x:c r="G11" s="6" t="str">
        <x:v>Automatic artifact promotion across environments</x:v>
      </x:c>
      <x:c r="H11" s="6" t="str">
        <x:v>Inference from E06,E08</x:v>
      </x:c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dataValidations count="2">
    <x:dataValidation type="list" sqref="D2:D11">
      <x:formula1>"0,1,2,3,4,5"</x:formula1>
    </x:dataValidation>
    <x:dataValidation type="list" sqref="F2:F1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0da9fb97d443f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38" hidden="0" customWidth="1"/>
    <x:col min="5" max="5" width="12" hidden="0" customWidth="1"/>
    <x:col min="6" max="6" width="10" hidden="0" customWidth="1"/>
    <x:col min="7" max="7" width="14" hidden="0" customWidth="1"/>
    <x:col min="8" max="8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10" t="str">
        <x:v>SCENARIO BUILDER</x:v>
      </x:c>
      <x:c r="B1" s="10" t="str">
        <x:v>Select up to 8 hazard IDs</x:v>
      </x:c>
      <x:c r="C1" s="10" t="str"/>
      <x:c r="D1" s="10" t="str"/>
      <x:c r="E1" s="10" t="str"/>
      <x:c r="F1" s="10" t="str"/>
      <x:c r="G1" s="10" t="str"/>
      <x:c r="H1" s="10" t="str"/>
      <x:c r="I1" s="10"/>
      <x:c r="J1" s="10" t="str">
        <x:v>Hazard ID</x:v>
      </x:c>
      <x:c r="K1" s="10" t="str">
        <x:v>Domain</x:v>
      </x:c>
      <x:c r="L1" s="10" t="str">
        <x:v>Hazard</x:v>
      </x:c>
      <x:c r="M1" s="10" t="str">
        <x:v>Score</x:v>
      </x:c>
      <x:c r="N1" s="10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 t="str">
        <x:v>HUM-01</x:v>
      </x:c>
      <x:c r="K2" s="6" t="str">
        <x:v>Human</x:v>
      </x:c>
      <x:c r="L2" s="6" t="str">
        <x:v>Misconfiguration leaves unintended network path</x:v>
      </x:c>
      <x:c r="M2" s="6" t="n">
        <x:f>'Human_Dumbassery'!K2</x:f>
        <x:v>28.333333333333332</x:v>
      </x:c>
      <x:c r="N2" s="6"/>
    </x:row>
    <x:row r="3">
      <x:c r="A3" s="6" t="str">
        <x:v>Slot</x:v>
      </x:c>
      <x:c r="B3" s="6" t="str">
        <x:v>Hazard ID</x:v>
      </x:c>
      <x:c r="C3" s="6" t="str">
        <x:v>Domain</x:v>
      </x:c>
      <x:c r="D3" s="6" t="str">
        <x:v>Hazard</x:v>
      </x:c>
      <x:c r="E3" s="6" t="str">
        <x:v>Hazard Score</x:v>
      </x:c>
      <x:c r="F3" s="6" t="str">
        <x:v>Tier</x:v>
      </x:c>
      <x:c r="G3" s="6" t="str">
        <x:v>Decision</x:v>
      </x:c>
      <x:c r="H3" s="6" t="str">
        <x:v>Notes</x:v>
      </x:c>
      <x:c r="I3" s="6"/>
      <x:c r="J3" s="6" t="str">
        <x:v>HUM-02</x:v>
      </x:c>
      <x:c r="K3" s="6" t="str">
        <x:v>Human</x:v>
      </x:c>
      <x:c r="L3" s="6" t="str">
        <x:v>Procedural shortcut / incomplete verification</x:v>
      </x:c>
      <x:c r="M3" s="6" t="n">
        <x:f>'Human_Dumbassery'!K3</x:f>
        <x:v>13</x:v>
      </x:c>
      <x:c r="N3" s="6"/>
    </x:row>
    <x:row r="4">
      <x:c r="A4" s="6" t="n">
        <x:v>1</x:v>
      </x:c>
      <x:c r="B4" s="6"/>
      <x:c r="C4" s="6" t="str">
        <x:f>IF(B4="","",VLOOKUP(B4,$J$2:$M$33,2,FALSE))</x:f>
      </x:c>
      <x:c r="D4" s="6" t="str">
        <x:f>IF(B4="","",VLOOKUP(B4,$J$2:$M$33,3,FALSE))</x:f>
      </x:c>
      <x:c r="E4" s="6" t="n">
        <x:f>IF(B4="",0,VLOOKUP(B4,$J$2:$M$33,4,FALSE))</x:f>
        <x:v>0</x:v>
      </x:c>
      <x:c r="F4" s="6" t="str">
        <x:f>IF(E4&gt;=Parameters!$B$2,"RED",IF(E4&gt;=Parameters!$B$3,"ORANGE",IF(E4&gt;=Parameters!$B$4,"YELLOW","GREEN")))</x:f>
        <x:v>GREEN</x:v>
      </x:c>
      <x:c r="G4" s="6" t="str">
        <x:f>IF(B4="","",IF(F4="RED","PROHIBIT",IF(F4="ORANGE","ESCALATE",IF(F4="YELLOW","HOLD","ALLOW"))))</x:f>
      </x:c>
      <x:c r="H4" s="6"/>
      <x:c r="I4" s="6"/>
      <x:c r="J4" s="6" t="str">
        <x:v>HUM-03</x:v>
      </x:c>
      <x:c r="K4" s="6" t="str">
        <x:v>Human</x:v>
      </x:c>
      <x:c r="L4" s="6" t="str">
        <x:v>Shared credentials or overly broad authorization</x:v>
      </x:c>
      <x:c r="M4" s="6" t="n">
        <x:f>'Human_Dumbassery'!K4</x:f>
        <x:v>28.333333333333332</x:v>
      </x:c>
      <x:c r="N4" s="6"/>
    </x:row>
    <x:row r="5">
      <x:c r="A5" s="6" t="n">
        <x:v>2</x:v>
      </x:c>
      <x:c r="B5" s="6"/>
      <x:c r="C5" s="6" t="str">
        <x:f>IF(B5="","",VLOOKUP(B5,$J$2:$M$33,2,FALSE))</x:f>
      </x:c>
      <x:c r="D5" s="6" t="str">
        <x:f>IF(B5="","",VLOOKUP(B5,$J$2:$M$33,3,FALSE))</x:f>
      </x:c>
      <x:c r="E5" s="6" t="n">
        <x:f>IF(B5="",0,VLOOKUP(B5,$J$2:$M$33,4,FALSE))</x:f>
        <x:v>0</x:v>
      </x:c>
      <x:c r="F5" s="6" t="str">
        <x:f>IF(E5&gt;=Parameters!$B$2,"RED",IF(E5&gt;=Parameters!$B$3,"ORANGE",IF(E5&gt;=Parameters!$B$4,"YELLOW","GREEN")))</x:f>
        <x:v>GREEN</x:v>
      </x:c>
      <x:c r="G5" s="6" t="str">
        <x:f>IF(B5="","",IF(F5="RED","PROHIBIT",IF(F5="ORANGE","ESCALATE",IF(F5="YELLOW","HOLD","ALLOW"))))</x:f>
      </x:c>
      <x:c r="H5" s="6"/>
      <x:c r="I5" s="6"/>
      <x:c r="J5" s="6" t="str">
        <x:v>HUM-04</x:v>
      </x:c>
      <x:c r="K5" s="6" t="str">
        <x:v>Human</x:v>
      </x:c>
      <x:c r="L5" s="6" t="str">
        <x:v>Institutional notification delay / suppression window</x:v>
      </x:c>
      <x:c r="M5" s="6" t="n">
        <x:f>'Human_Dumbassery'!K5</x:f>
        <x:v>21.666666666666668</x:v>
      </x:c>
      <x:c r="N5" s="6"/>
    </x:row>
    <x:row r="6">
      <x:c r="A6" s="6" t="n">
        <x:v>3</x:v>
      </x:c>
      <x:c r="B6" s="6"/>
      <x:c r="C6" s="6" t="str">
        <x:f>IF(B6="","",VLOOKUP(B6,$J$2:$M$33,2,FALSE))</x:f>
      </x:c>
      <x:c r="D6" s="6" t="str">
        <x:f>IF(B6="","",VLOOKUP(B6,$J$2:$M$33,3,FALSE))</x:f>
      </x:c>
      <x:c r="E6" s="6" t="n">
        <x:f>IF(B6="",0,VLOOKUP(B6,$J$2:$M$33,4,FALSE))</x:f>
        <x:v>0</x:v>
      </x:c>
      <x:c r="F6" s="6" t="str">
        <x:f>IF(E6&gt;=Parameters!$B$2,"RED",IF(E6&gt;=Parameters!$B$3,"ORANGE",IF(E6&gt;=Parameters!$B$4,"YELLOW","GREEN")))</x:f>
        <x:v>GREEN</x:v>
      </x:c>
      <x:c r="G6" s="6" t="str">
        <x:f>IF(B6="","",IF(F6="RED","PROHIBIT",IF(F6="ORANGE","ESCALATE",IF(F6="YELLOW","HOLD","ALLOW"))))</x:f>
      </x:c>
      <x:c r="H6" s="6"/>
      <x:c r="I6" s="6"/>
      <x:c r="J6" s="6" t="str">
        <x:v>HUM-05</x:v>
      </x:c>
      <x:c r="K6" s="6" t="str">
        <x:v>Human</x:v>
      </x:c>
      <x:c r="L6" s="6" t="str">
        <x:v>Assuming software isolation equals physical isolation</x:v>
      </x:c>
      <x:c r="M6" s="6" t="n">
        <x:f>'Human_Dumbassery'!K6</x:f>
        <x:v>45</x:v>
      </x:c>
      <x:c r="N6" s="6"/>
    </x:row>
    <x:row r="7">
      <x:c r="A7" s="6" t="n">
        <x:v>4</x:v>
      </x:c>
      <x:c r="B7" s="6"/>
      <x:c r="C7" s="6" t="str">
        <x:f>IF(B7="","",VLOOKUP(B7,$J$2:$M$33,2,FALSE))</x:f>
      </x:c>
      <x:c r="D7" s="6" t="str">
        <x:f>IF(B7="","",VLOOKUP(B7,$J$2:$M$33,3,FALSE))</x:f>
      </x:c>
      <x:c r="E7" s="6" t="n">
        <x:f>IF(B7="",0,VLOOKUP(B7,$J$2:$M$33,4,FALSE))</x:f>
        <x:v>0</x:v>
      </x:c>
      <x:c r="F7" s="6" t="str">
        <x:f>IF(E7&gt;=Parameters!$B$2,"RED",IF(E7&gt;=Parameters!$B$3,"ORANGE",IF(E7&gt;=Parameters!$B$4,"YELLOW","GREEN")))</x:f>
        <x:v>GREEN</x:v>
      </x:c>
      <x:c r="G7" s="6" t="str">
        <x:f>IF(B7="","",IF(F7="RED","PROHIBIT",IF(F7="ORANGE","ESCALATE",IF(F7="YELLOW","HOLD","ALLOW"))))</x:f>
      </x:c>
      <x:c r="H7" s="6"/>
      <x:c r="I7" s="6"/>
      <x:c r="J7" s="6" t="str">
        <x:v>MAC-01</x:v>
      </x:c>
      <x:c r="K7" s="6" t="str">
        <x:v>Machine</x:v>
      </x:c>
      <x:c r="L7" s="6" t="str">
        <x:v>Agent autonomously exploits available attack surface</x:v>
      </x:c>
      <x:c r="M7" s="6" t="n">
        <x:f>'Machine_Agency'!K2</x:f>
        <x:v>26.666666666666668</x:v>
      </x:c>
      <x:c r="N7" s="6"/>
    </x:row>
    <x:row r="8">
      <x:c r="A8" s="6" t="n">
        <x:v>5</x:v>
      </x:c>
      <x:c r="B8" s="6"/>
      <x:c r="C8" s="6" t="str">
        <x:f>IF(B8="","",VLOOKUP(B8,$J$2:$M$33,2,FALSE))</x:f>
      </x:c>
      <x:c r="D8" s="6" t="str">
        <x:f>IF(B8="","",VLOOKUP(B8,$J$2:$M$33,3,FALSE))</x:f>
      </x:c>
      <x:c r="E8" s="6" t="n">
        <x:f>IF(B8="",0,VLOOKUP(B8,$J$2:$M$33,4,FALSE))</x:f>
        <x:v>0</x:v>
      </x:c>
      <x:c r="F8" s="6" t="str">
        <x:f>IF(E8&gt;=Parameters!$B$2,"RED",IF(E8&gt;=Parameters!$B$3,"ORANGE",IF(E8&gt;=Parameters!$B$4,"YELLOW","GREEN")))</x:f>
        <x:v>GREEN</x:v>
      </x:c>
      <x:c r="G8" s="6" t="str">
        <x:f>IF(B8="","",IF(F8="RED","PROHIBIT",IF(F8="ORANGE","ESCALATE",IF(F8="YELLOW","HOLD","ALLOW"))))</x:f>
      </x:c>
      <x:c r="H8" s="6"/>
      <x:c r="I8" s="6"/>
      <x:c r="J8" s="6" t="str">
        <x:v>MAC-02</x:v>
      </x:c>
      <x:c r="K8" s="6" t="str">
        <x:v>Machine</x:v>
      </x:c>
      <x:c r="L8" s="6" t="str">
        <x:v>Agent persists or moves laterally after initial access</x:v>
      </x:c>
      <x:c r="M8" s="6" t="n">
        <x:f>'Machine_Agency'!K3</x:f>
        <x:v>26.666666666666668</x:v>
      </x:c>
      <x:c r="N8" s="6"/>
    </x:row>
    <x:row r="9">
      <x:c r="A9" s="6" t="n">
        <x:v>6</x:v>
      </x:c>
      <x:c r="B9" s="6"/>
      <x:c r="C9" s="6" t="str">
        <x:f>IF(B9="","",VLOOKUP(B9,$J$2:$M$33,2,FALSE))</x:f>
      </x:c>
      <x:c r="D9" s="6" t="str">
        <x:f>IF(B9="","",VLOOKUP(B9,$J$2:$M$33,3,FALSE))</x:f>
      </x:c>
      <x:c r="E9" s="6" t="n">
        <x:f>IF(B9="",0,VLOOKUP(B9,$J$2:$M$33,4,FALSE))</x:f>
        <x:v>0</x:v>
      </x:c>
      <x:c r="F9" s="6" t="str">
        <x:f>IF(E9&gt;=Parameters!$B$2,"RED",IF(E9&gt;=Parameters!$B$3,"ORANGE",IF(E9&gt;=Parameters!$B$4,"YELLOW","GREEN")))</x:f>
        <x:v>GREEN</x:v>
      </x:c>
      <x:c r="G9" s="6" t="str">
        <x:f>IF(B9="","",IF(F9="RED","PROHIBIT",IF(F9="ORANGE","ESCALATE",IF(F9="YELLOW","HOLD","ALLOW"))))</x:f>
      </x:c>
      <x:c r="H9" s="6"/>
      <x:c r="I9" s="6"/>
      <x:c r="J9" s="6" t="str">
        <x:v>MAC-03</x:v>
      </x:c>
      <x:c r="K9" s="6" t="str">
        <x:v>Machine</x:v>
      </x:c>
      <x:c r="L9" s="6" t="str">
        <x:v>Multi-agent coordination bypasses intended isolation</x:v>
      </x:c>
      <x:c r="M9" s="6" t="n">
        <x:f>'Machine_Agency'!K4</x:f>
        <x:v>26.666666666666668</x:v>
      </x:c>
      <x:c r="N9" s="6"/>
    </x:row>
    <x:row r="10">
      <x:c r="A10" s="6" t="n">
        <x:v>7</x:v>
      </x:c>
      <x:c r="B10" s="6"/>
      <x:c r="C10" s="6" t="str">
        <x:f>IF(B10="","",VLOOKUP(B10,$J$2:$M$33,2,FALSE))</x:f>
      </x:c>
      <x:c r="D10" s="6" t="str">
        <x:f>IF(B10="","",VLOOKUP(B10,$J$2:$M$33,3,FALSE))</x:f>
      </x:c>
      <x:c r="E10" s="6" t="n">
        <x:f>IF(B10="",0,VLOOKUP(B10,$J$2:$M$33,4,FALSE))</x:f>
        <x:v>0</x:v>
      </x:c>
      <x:c r="F10" s="6" t="str">
        <x:f>IF(E10&gt;=Parameters!$B$2,"RED",IF(E10&gt;=Parameters!$B$3,"ORANGE",IF(E10&gt;=Parameters!$B$4,"YELLOW","GREEN")))</x:f>
        <x:v>GREEN</x:v>
      </x:c>
      <x:c r="G10" s="6" t="str">
        <x:f>IF(B10="","",IF(F10="RED","PROHIBIT",IF(F10="ORANGE","ESCALATE",IF(F10="YELLOW","HOLD","ALLOW"))))</x:f>
      </x:c>
      <x:c r="H10" s="6"/>
      <x:c r="I10" s="6"/>
      <x:c r="J10" s="6" t="str">
        <x:v>MAC-04</x:v>
      </x:c>
      <x:c r="K10" s="6" t="str">
        <x:v>Machine</x:v>
      </x:c>
      <x:c r="L10" s="6" t="str">
        <x:v>Self-propagating malicious code emerges in adversarial agent setting</x:v>
      </x:c>
      <x:c r="M10" s="6" t="n">
        <x:f>'Machine_Agency'!K5</x:f>
        <x:v>23.333333333333332</x:v>
      </x:c>
      <x:c r="N10" s="6"/>
    </x:row>
    <x:row r="11">
      <x:c r="A11" s="6" t="n">
        <x:v>8</x:v>
      </x:c>
      <x:c r="B11" s="6"/>
      <x:c r="C11" s="6" t="str">
        <x:f>IF(B11="","",VLOOKUP(B11,$J$2:$M$33,2,FALSE))</x:f>
      </x:c>
      <x:c r="D11" s="6" t="str">
        <x:f>IF(B11="","",VLOOKUP(B11,$J$2:$M$33,3,FALSE))</x:f>
      </x:c>
      <x:c r="E11" s="6" t="n">
        <x:f>IF(B11="",0,VLOOKUP(B11,$J$2:$M$33,4,FALSE))</x:f>
        <x:v>0</x:v>
      </x:c>
      <x:c r="F11" s="6" t="str">
        <x:f>IF(E11&gt;=Parameters!$B$2,"RED",IF(E11&gt;=Parameters!$B$3,"ORANGE",IF(E11&gt;=Parameters!$B$4,"YELLOW","GREEN")))</x:f>
        <x:v>GREEN</x:v>
      </x:c>
      <x:c r="G11" s="6" t="str">
        <x:f>IF(B11="","",IF(F11="RED","PROHIBIT",IF(F11="ORANGE","ESCALATE",IF(F11="YELLOW","HOLD","ALLOW"))))</x:f>
      </x:c>
      <x:c r="H11" s="6"/>
      <x:c r="I11" s="6"/>
      <x:c r="J11" s="6" t="str">
        <x:v>MAC-05</x:v>
      </x:c>
      <x:c r="K11" s="6" t="str">
        <x:v>Machine</x:v>
      </x:c>
      <x:c r="L11" s="6" t="str">
        <x:v>Misaligned agent contaminates future AI pipeline</x:v>
      </x:c>
      <x:c r="M11" s="6" t="n">
        <x:f>'Machine_Agency'!K6</x:f>
        <x:v>25</x:v>
      </x:c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 t="str">
        <x:v>CYB-01</x:v>
      </x:c>
      <x:c r="K12" s="6" t="str">
        <x:v>Cyber</x:v>
      </x:c>
      <x:c r="L12" s="6" t="str">
        <x:v>Sandbox / evaluation environment egress</x:v>
      </x:c>
      <x:c r="M12" s="6" t="n">
        <x:f>'Cyber_Containment'!K2</x:f>
        <x:v>31.666666666666668</x:v>
      </x:c>
      <x:c r="N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 t="str">
        <x:v>CYB-02</x:v>
      </x:c>
      <x:c r="K13" s="6" t="str">
        <x:v>Cyber</x:v>
      </x:c>
      <x:c r="L13" s="6" t="str">
        <x:v>Zero-day or unknown vulnerability defeats isolation</x:v>
      </x:c>
      <x:c r="M13" s="6" t="n">
        <x:f>'Cyber_Containment'!K3</x:f>
        <x:v>26.666666666666668</x:v>
      </x:c>
      <x:c r="N13" s="6"/>
    </x:row>
    <x:row r="14">
      <x:c r="A14" s="16" t="str">
        <x:v>Scenario metric</x:v>
      </x:c>
      <x:c r="B14" s="16" t="str">
        <x:v>Value</x:v>
      </x:c>
      <x:c r="C14" s="16" t="str">
        <x:v>Interpretation</x:v>
      </x:c>
      <x:c r="D14" s="16" t="str">
        <x:v>Rule</x:v>
      </x:c>
      <x:c r="E14" s="6"/>
      <x:c r="F14" s="16" t="str">
        <x:v>Final tier</x:v>
      </x:c>
      <x:c r="G14" s="16" t="str">
        <x:v>Final decision</x:v>
      </x:c>
      <x:c r="H14" s="6"/>
      <x:c r="I14" s="6"/>
      <x:c r="J14" s="6" t="str">
        <x:v>CYB-03</x:v>
      </x:c>
      <x:c r="K14" s="6" t="str">
        <x:v>Cyber</x:v>
      </x:c>
      <x:c r="L14" s="6" t="str">
        <x:v>Package registry used as propagation bridge</x:v>
      </x:c>
      <x:c r="M14" s="6" t="n">
        <x:f>'Cyber_Containment'!K4</x:f>
        <x:v>28.333333333333332</x:v>
      </x:c>
      <x:c r="N14" s="6"/>
    </x:row>
    <x:row r="15">
      <x:c r="A15" s="6" t="str">
        <x:v>Selected hazards</x:v>
      </x:c>
      <x:c r="B15" s="6" t="n">
        <x:f>COUNTIF(B4:B11,"&lt;&gt;")</x:f>
        <x:v>0</x:v>
      </x:c>
      <x:c r="C15" s="6"/>
      <x:c r="D15" s="6"/>
      <x:c r="E15" s="6"/>
      <x:c r="F15" s="24" t="str">
        <x:f>IF(B19&gt;=Parameters!$B$2,"RED",IF(B19&gt;=Parameters!$B$3,"ORANGE",IF(B19&gt;=Parameters!$B$4,"YELLOW","GREEN")))</x:f>
        <x:v>GREEN</x:v>
      </x:c>
      <x:c r="G15" s="24" t="str">
        <x:f>IF(F15="RED","PROHIBIT",IF(F15="ORANGE","ESCALATE",IF(F15="YELLOW","HOLD","ALLOW")))</x:f>
        <x:v>ALLOW</x:v>
      </x:c>
      <x:c r="H15" s="6"/>
      <x:c r="I15" s="6"/>
      <x:c r="J15" s="6" t="str">
        <x:v>CYB-04</x:v>
      </x:c>
      <x:c r="K15" s="6" t="str">
        <x:v>Cyber</x:v>
      </x:c>
      <x:c r="L15" s="6" t="str">
        <x:v>CI/CD or artifact pipeline becomes cross-domain bridge</x:v>
      </x:c>
      <x:c r="M15" s="6" t="n">
        <x:f>'Cyber_Containment'!K5</x:f>
        <x:v>26.666666666666668</x:v>
      </x:c>
      <x:c r="N15" s="6"/>
    </x:row>
    <x:row r="16">
      <x:c r="A16" s="6" t="str">
        <x:v>Base score sum</x:v>
      </x:c>
      <x:c r="B16" s="6" t="n">
        <x:f>SUM(E4:E11)</x:f>
        <x:v>0</x:v>
      </x:c>
      <x:c r="C16" s="6"/>
      <x:c r="D16" s="6"/>
      <x:c r="E16" s="6"/>
      <x:c r="F16" s="6"/>
      <x:c r="G16" s="6"/>
      <x:c r="H16" s="6"/>
      <x:c r="I16" s="6"/>
      <x:c r="J16" s="6" t="str">
        <x:v>CYB-05</x:v>
      </x:c>
      <x:c r="K16" s="6" t="str">
        <x:v>Cyber</x:v>
      </x:c>
      <x:c r="L16" s="6" t="str">
        <x:v>Model/data/config poisoning crosses organizational boundary</x:v>
      </x:c>
      <x:c r="M16" s="6" t="n">
        <x:f>'Cyber_Containment'!K6</x:f>
        <x:v>23.333333333333332</x:v>
      </x:c>
      <x:c r="N16" s="6"/>
    </x:row>
    <x:row r="17">
      <x:c r="A17" s="6" t="str">
        <x:v>Distinct domains</x:v>
      </x:c>
      <x:c r="B17" s="6" t="n">
        <x:f>IF(COUNTIF(C4:C11,"Human")&gt;0,1,0)+IF(COUNTIF(C4:C11,"Machine")&gt;0,1,0)+IF(COUNTIF(C4:C11,"Cyber")&gt;0,1,0)+IF(COUNTIF(C4:C11,"Bio")&gt;0,1,0)+IF(COUNTIF(C4:C11,"Lab")&gt;0,1,0)+IF(COUNTIF(C4:C11,"Supply")&gt;0,1,0)+IF(COUNTIF(C4:C11,"Governance")&gt;0,1,0)</x:f>
        <x:v>0</x:v>
      </x:c>
      <x:c r="C17" s="6"/>
      <x:c r="D17" s="6"/>
      <x:c r="E17" s="6"/>
      <x:c r="F17" s="6"/>
      <x:c r="G17" s="6"/>
      <x:c r="H17" s="6"/>
      <x:c r="I17" s="6"/>
      <x:c r="J17" s="6" t="str">
        <x:v>BIO-01</x:v>
      </x:c>
      <x:c r="K17" s="6" t="str">
        <x:v>Bio</x:v>
      </x:c>
      <x:c r="L17" s="6" t="str">
        <x:v>High-consequence work relies on digital control plane</x:v>
      </x:c>
      <x:c r="M17" s="6" t="n">
        <x:f>'Bio_Control_Plane'!K2</x:f>
        <x:v>18.75</x:v>
      </x:c>
      <x:c r="N17" s="6"/>
    </x:row>
    <x:row r="18">
      <x:c r="A18" s="6" t="str">
        <x:v>Coupling bonus (manual 0-25)</x:v>
      </x:c>
      <x:c r="B18" s="6" t="n">
        <x:v>0</x:v>
      </x:c>
      <x:c r="C18" s="6"/>
      <x:c r="D18" s="6"/>
      <x:c r="E18" s="6"/>
      <x:c r="F18" s="6"/>
      <x:c r="G18" s="6"/>
      <x:c r="H18" s="6"/>
      <x:c r="I18" s="6"/>
      <x:c r="J18" s="6" t="str">
        <x:v>BIO-02</x:v>
      </x:c>
      <x:c r="K18" s="6" t="str">
        <x:v>Bio</x:v>
      </x:c>
      <x:c r="L18" s="6" t="str">
        <x:v>Containment-critical actuator receives unilateral AI command</x:v>
      </x:c>
      <x:c r="M18" s="6" t="n">
        <x:f>'Bio_Control_Plane'!K3</x:f>
        <x:v>37.5</x:v>
      </x:c>
      <x:c r="N18" s="6"/>
    </x:row>
    <x:row r="19">
      <x:c r="A19" s="6" t="str">
        <x:v>Compound score</x:v>
      </x:c>
      <x:c r="B19" s="6" t="n">
        <x:f>B16+(B18*Parameters!$B$7)</x:f>
        <x:v>0</x:v>
      </x:c>
      <x:c r="C19" s="6"/>
      <x:c r="D19" s="6"/>
      <x:c r="E19" s="6"/>
      <x:c r="F19" s="6"/>
      <x:c r="G19" s="6"/>
      <x:c r="H19" s="6"/>
      <x:c r="I19" s="6"/>
      <x:c r="J19" s="6" t="str">
        <x:v>BIO-03</x:v>
      </x:c>
      <x:c r="K19" s="6" t="str">
        <x:v>Bio</x:v>
      </x:c>
      <x:c r="L19" s="6" t="str">
        <x:v>Cyber compromise changes physical experimental workflow</x:v>
      </x:c>
      <x:c r="M19" s="6" t="n">
        <x:f>'Bio_Control_Plane'!K4</x:f>
        <x:v>23.333333333333332</x:v>
      </x:c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 t="str">
        <x:v>BIO-04</x:v>
      </x:c>
      <x:c r="K20" s="6" t="str">
        <x:v>Bio</x:v>
      </x:c>
      <x:c r="L20" s="6" t="str">
        <x:v>Physical containment tier ignores cyber/control-plane exposure</x:v>
      </x:c>
      <x:c r="M20" s="6" t="n">
        <x:f>'Bio_Control_Plane'!K5</x:f>
        <x:v>26.666666666666668</x:v>
      </x:c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 t="str">
        <x:v>BIO-05</x:v>
      </x:c>
      <x:c r="K21" s="6" t="str">
        <x:v>Bio</x:v>
      </x:c>
      <x:c r="L21" s="6" t="str">
        <x:v>Recovery depends on detecting event after irreversible action</x:v>
      </x:c>
      <x:c r="M21" s="6" t="n">
        <x:f>'Bio_Control_Plane'!K6</x:f>
        <x:v>23.333333333333332</x:v>
      </x:c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 t="str">
        <x:v>LAB-01</x:v>
      </x:c>
      <x:c r="K22" s="6" t="str">
        <x:v>Lab</x:v>
      </x:c>
      <x:c r="L22" s="6" t="str">
        <x:v>AI operates scientific hardware through standardized interface</x:v>
      </x:c>
      <x:c r="M22" s="6" t="n">
        <x:f>'Lab_Automation'!K2</x:f>
        <x:v>15</x:v>
      </x:c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 t="str">
        <x:v>LAB-02</x:v>
      </x:c>
      <x:c r="K23" s="6" t="str">
        <x:v>Lab</x:v>
      </x:c>
      <x:c r="L23" s="6" t="str">
        <x:v>Autonomous workflow combines sensing, planning and actuation</x:v>
      </x:c>
      <x:c r="M23" s="6" t="n">
        <x:f>'Lab_Automation'!K3</x:f>
        <x:v>26.666666666666668</x:v>
      </x:c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 t="str">
        <x:v>LAB-03</x:v>
      </x:c>
      <x:c r="K24" s="6" t="str">
        <x:v>Lab</x:v>
      </x:c>
      <x:c r="L24" s="6" t="str">
        <x:v>Shared lab network exposes IT/OT pivot path</x:v>
      </x:c>
      <x:c r="M24" s="6" t="n">
        <x:f>'Lab_Automation'!K4</x:f>
        <x:v>26.666666666666668</x:v>
      </x:c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 t="str">
        <x:v>LAB-04</x:v>
      </x:c>
      <x:c r="K25" s="6" t="str">
        <x:v>Lab</x:v>
      </x:c>
      <x:c r="L25" s="6" t="str">
        <x:v>AI safety monitor and AI operator share common failure domain</x:v>
      </x:c>
      <x:c r="M25" s="6" t="n">
        <x:f>'Lab_Automation'!K5</x:f>
        <x:v>25</x:v>
      </x:c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 t="str">
        <x:v>SUP-01</x:v>
      </x:c>
      <x:c r="K26" s="6" t="str">
        <x:v>Supply</x:v>
      </x:c>
      <x:c r="L26" s="6" t="str">
        <x:v>External package dependency imports malicious executable code</x:v>
      </x:c>
      <x:c r="M26" s="6" t="n">
        <x:f>'Supply_Chain'!K2</x:f>
        <x:v>28.333333333333332</x:v>
      </x:c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 t="str">
        <x:v>SUP-02</x:v>
      </x:c>
      <x:c r="K27" s="6" t="str">
        <x:v>Supply</x:v>
      </x:c>
      <x:c r="L27" s="6" t="str">
        <x:v>Shared model/artifact registry bridges organizations</x:v>
      </x:c>
      <x:c r="M27" s="6" t="n">
        <x:f>'Supply_Chain'!K3</x:f>
        <x:v>25</x:v>
      </x:c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 t="str">
        <x:v>SUP-03</x:v>
      </x:c>
      <x:c r="K28" s="6" t="str">
        <x:v>Supply</x:v>
      </x:c>
      <x:c r="L28" s="6" t="str">
        <x:v>Shared cloud/IAM creates hidden common-mode dependency</x:v>
      </x:c>
      <x:c r="M28" s="6" t="n">
        <x:f>'Supply_Chain'!K4</x:f>
        <x:v>26.666666666666668</x:v>
      </x:c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 t="str">
        <x:v>SUP-04</x:v>
      </x:c>
      <x:c r="K29" s="6" t="str">
        <x:v>Supply</x:v>
      </x:c>
      <x:c r="L29" s="6" t="str">
        <x:v>Security tooling itself becomes credential exfiltration path</x:v>
      </x:c>
      <x:c r="M29" s="6" t="n">
        <x:f>'Supply_Chain'!K5</x:f>
        <x:v>25</x:v>
      </x:c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 t="str">
        <x:v>GOV-01</x:v>
      </x:c>
      <x:c r="K30" s="6" t="str">
        <x:v>Governance</x:v>
      </x:c>
      <x:c r="L30" s="6" t="str">
        <x:v>No independent authority can halt high-risk run</x:v>
      </x:c>
      <x:c r="M30" s="6" t="n">
        <x:f>'Governance'!K2</x:f>
        <x:v>25</x:v>
      </x:c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 t="str">
        <x:v>GOV-02</x:v>
      </x:c>
      <x:c r="K31" s="6" t="str">
        <x:v>Governance</x:v>
      </x:c>
      <x:c r="L31" s="6" t="str">
        <x:v>Safety scorecard substitutes for hard containment</x:v>
      </x:c>
      <x:c r="M31" s="6" t="n">
        <x:f>'Governance'!K3</x:f>
        <x:v>26.666666666666668</x:v>
      </x:c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 t="str">
        <x:v>GOV-03</x:v>
      </x:c>
      <x:c r="K32" s="6" t="str">
        <x:v>Governance</x:v>
      </x:c>
      <x:c r="L32" s="6" t="str">
        <x:v>Incident disclosure delayed by institutional incentives</x:v>
      </x:c>
      <x:c r="M32" s="6" t="n">
        <x:f>'Governance'!K4</x:f>
        <x:v>21.666666666666668</x:v>
      </x:c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 t="str">
        <x:v>GOV-04</x:v>
      </x:c>
      <x:c r="K33" s="6" t="str">
        <x:v>Governance</x:v>
      </x:c>
      <x:c r="L33" s="6" t="str">
        <x:v>Two AI monitors assumed independent despite shared stack</x:v>
      </x:c>
      <x:c r="M33" s="6" t="n">
        <x:f>'Governance'!K5</x:f>
        <x:v>25</x:v>
      </x:c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dataValidations count="9">
    <x:dataValidation type="list" sqref="B4">
      <x:formula1>Scenario_Builder!$J$2:$J$33</x:formula1>
    </x:dataValidation>
    <x:dataValidation type="list" sqref="B5">
      <x:formula1>Scenario_Builder!$J$2:$J$33</x:formula1>
    </x:dataValidation>
    <x:dataValidation type="list" sqref="B6">
      <x:formula1>Scenario_Builder!$J$2:$J$33</x:formula1>
    </x:dataValidation>
    <x:dataValidation type="list" sqref="B7">
      <x:formula1>Scenario_Builder!$J$2:$J$33</x:formula1>
    </x:dataValidation>
    <x:dataValidation type="list" sqref="B8">
      <x:formula1>Scenario_Builder!$J$2:$J$33</x:formula1>
    </x:dataValidation>
    <x:dataValidation type="list" sqref="B9">
      <x:formula1>Scenario_Builder!$J$2:$J$33</x:formula1>
    </x:dataValidation>
    <x:dataValidation type="list" sqref="B10">
      <x:formula1>Scenario_Builder!$J$2:$J$33</x:formula1>
    </x:dataValidation>
    <x:dataValidation type="list" sqref="B11">
      <x:formula1>Scenario_Builder!$J$2:$J$33</x:formula1>
    </x:dataValidation>
    <x:dataValidation type="list" sqref="B18">
      <x:formula1>"0,1,2,3,4,5,6,7,8,9,10,12,15,18,20,25"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  <x:col min="4" max="4" width="18" hidden="0" customWidth="1"/>
    <x:col min="5" max="5" width="14" hidden="0" customWidth="1"/>
    <x:col min="6" max="6" width="16" hidden="0" customWidth="1"/>
  </x:cols>
  <x:sheetData>
    <x:row r="1" ht="36" customHeight="1">
      <x:c r="A1" s="12" t="str">
        <x:v>PERFECT STORM — FEDERATED THREAT MODEL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/>
      <x:c r="J1" s="10"/>
      <x:c r="K1" s="10"/>
      <x:c r="L1" s="10"/>
      <x:c r="M1" s="10"/>
      <x:c r="N1" s="10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20" t="str">
        <x:v>Workbook purpose</x:v>
      </x:c>
      <x:c r="B3" s="21" t="str">
        <x:v>Cross-reference human, machine, cyber, supply-chain, lab, biological and governance hazards without flattening them into one domain.</x:v>
      </x:c>
      <x:c r="C3" s="6"/>
      <x:c r="D3" s="16" t="str">
        <x:v>Domain</x:v>
      </x:c>
      <x:c r="E3" s="16" t="str">
        <x:v>Hazards</x:v>
      </x:c>
      <x:c r="F3" s="16" t="str">
        <x:v>Red/Orange</x:v>
      </x:c>
      <x:c r="G3" s="6"/>
      <x:c r="H3" s="6"/>
      <x:c r="I3" s="6"/>
      <x:c r="J3" s="6"/>
      <x:c r="K3" s="6"/>
      <x:c r="L3" s="6"/>
      <x:c r="M3" s="6"/>
      <x:c r="N3" s="6"/>
    </x:row>
    <x:row r="4">
      <x:c r="A4" s="20" t="str">
        <x:v>Decision principle</x:v>
      </x:c>
      <x:c r="B4" s="21" t="str">
        <x:v>Unknown probability is not zero probability. Catastrophic consequence requires independent barriers before the first full-chain event.</x:v>
      </x:c>
      <x:c r="C4" s="6"/>
      <x:c r="D4" s="6" t="str">
        <x:v>Human</x:v>
      </x:c>
      <x:c r="E4" s="6" t="n">
        <x:v>5</x:v>
      </x:c>
      <x:c r="F4" s="6" t="n">
        <x:f>COUNTIF('Human_Dumbassery'!L2:L6,"RED")+COUNTIF('Human_Dumbassery'!L2:L6,"ORANGE")</x:f>
        <x:v>1</x:v>
      </x:c>
      <x:c r="G4" s="6"/>
      <x:c r="H4" s="6"/>
      <x:c r="I4" s="6"/>
      <x:c r="J4" s="6"/>
      <x:c r="K4" s="6"/>
      <x:c r="L4" s="6"/>
      <x:c r="M4" s="6"/>
      <x:c r="N4" s="6"/>
    </x:row>
    <x:row r="5">
      <x:c r="A5" s="20" t="str">
        <x:v>Primary rule</x:v>
      </x:c>
      <x:c r="B5" s="21" t="str">
        <x:v>No high-consequence biological work at CPX-4.</x:v>
      </x:c>
      <x:c r="C5" s="6"/>
      <x:c r="D5" s="6" t="str">
        <x:v>Machine</x:v>
      </x:c>
      <x:c r="E5" s="6" t="n">
        <x:v>5</x:v>
      </x:c>
      <x:c r="F5" s="6" t="n">
        <x:f>COUNTIF('Machine_Agency'!L2:L6,"RED")+COUNTIF('Machine_Agency'!L2:L6,"ORANGE")</x:f>
        <x:v>0</x:v>
      </x:c>
      <x:c r="G5" s="6"/>
      <x:c r="H5" s="6"/>
      <x:c r="I5" s="6"/>
      <x:c r="J5" s="6"/>
      <x:c r="K5" s="6"/>
      <x:c r="L5" s="6"/>
      <x:c r="M5" s="6"/>
      <x:c r="N5" s="6"/>
    </x:row>
    <x:row r="6">
      <x:c r="A6" s="20" t="str">
        <x:v>Authority rule</x:v>
      </x:c>
      <x:c r="B6" s="21" t="str">
        <x:v>AI may detect/recommend; deterministic independently auditable interlocks retain final containment authority.</x:v>
      </x:c>
      <x:c r="C6" s="6"/>
      <x:c r="D6" s="6" t="str">
        <x:v>Cyber</x:v>
      </x:c>
      <x:c r="E6" s="6" t="n">
        <x:v>5</x:v>
      </x:c>
      <x:c r="F6" s="6" t="n">
        <x:f>COUNTIF('Cyber_Containment'!L2:L6,"RED")+COUNTIF('Cyber_Containment'!L2:L6,"ORANGE")</x:f>
        <x:v>0</x:v>
      </x:c>
      <x:c r="G6" s="6"/>
      <x:c r="H6" s="6"/>
      <x:c r="I6" s="6"/>
      <x:c r="J6" s="6"/>
      <x:c r="K6" s="6"/>
      <x:c r="L6" s="6"/>
      <x:c r="M6" s="6"/>
      <x:c r="N6" s="6"/>
    </x:row>
    <x:row r="7">
      <x:c r="A7" s="20" t="str">
        <x:v>Evidence discipline</x:v>
      </x:c>
      <x:c r="B7" s="21" t="str">
        <x:v>DOCUMENTED / SUPPORTED / INFERENCE / PLAUSIBLE / UNKNOWN / CONTRADICTED.</x:v>
      </x:c>
      <x:c r="C7" s="6"/>
      <x:c r="D7" s="6" t="str">
        <x:v>Bio</x:v>
      </x:c>
      <x:c r="E7" s="6" t="n">
        <x:v>5</x:v>
      </x:c>
      <x:c r="F7" s="6" t="n">
        <x:f>COUNTIF('Bio_Control_Plane'!L2:L6,"RED")+COUNTIF('Bio_Control_Plane'!L2:L6,"ORANGE")</x:f>
        <x:v>0</x:v>
      </x:c>
      <x:c r="G7" s="6"/>
      <x:c r="H7" s="6"/>
      <x:c r="I7" s="6"/>
      <x:c r="J7" s="6"/>
      <x:c r="K7" s="6"/>
      <x:c r="L7" s="6"/>
      <x:c r="M7" s="6"/>
      <x:c r="N7" s="6"/>
    </x:row>
    <x:row r="8">
      <x:c r="A8" s="20" t="str">
        <x:v>Human layer</x:v>
      </x:c>
      <x:c r="B8" s="21" t="str">
        <x:v>Human Dumbassery is treated as predictable system input, not moral failure.</x:v>
      </x:c>
      <x:c r="C8" s="6"/>
      <x:c r="D8" s="6" t="str">
        <x:v>Lab</x:v>
      </x:c>
      <x:c r="E8" s="6" t="n">
        <x:v>4</x:v>
      </x:c>
      <x:c r="F8" s="6" t="n">
        <x:f>COUNTIF('Lab_Automation'!L2:L5,"RED")+COUNTIF('Lab_Automation'!L2:L5,"ORANGE")</x:f>
        <x:v>0</x:v>
      </x:c>
      <x:c r="G8" s="6"/>
      <x:c r="H8" s="6"/>
      <x:c r="I8" s="6"/>
      <x:c r="J8" s="6"/>
      <x:c r="K8" s="6"/>
      <x:c r="L8" s="6"/>
      <x:c r="M8" s="6"/>
      <x:c r="N8" s="6"/>
    </x:row>
    <x:row r="9">
      <x:c r="A9" s="20" t="str">
        <x:v>Machine layer</x:v>
      </x:c>
      <x:c r="B9" s="21" t="str">
        <x:v>Machine Agency / Control-Plane Contamination is a separate interacting hazard class.</x:v>
      </x:c>
      <x:c r="C9" s="6"/>
      <x:c r="D9" s="6" t="str">
        <x:v>Supply</x:v>
      </x:c>
      <x:c r="E9" s="6" t="n">
        <x:v>4</x:v>
      </x:c>
      <x:c r="F9" s="6" t="n">
        <x:f>COUNTIF('Supply_Chain'!L2:L5,"RED")+COUNTIF('Supply_Chain'!L2:L5,"ORANGE")</x:f>
        <x:v>0</x:v>
      </x:c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 t="str">
        <x:v>Governance</x:v>
      </x:c>
      <x:c r="E10" s="6" t="n">
        <x:v>4</x:v>
      </x:c>
      <x:c r="F10" s="6" t="n">
        <x:f>COUNTIF('Governance'!L2:L5,"RED")+COUNTIF('Governance'!L2:L5,"ORANGE")</x:f>
        <x:v>0</x:v>
      </x:c>
      <x:c r="G10" s="6"/>
      <x:c r="H10" s="6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16" t="str">
        <x:v>Scenario Builder</x:v>
      </x:c>
      <x:c r="E13" s="16" t="str">
        <x:v>Current</x:v>
      </x:c>
      <x:c r="F13" s="16" t="str">
        <x:v>Meaning</x:v>
      </x:c>
      <x:c r="G13" s="6"/>
      <x:c r="H13" s="6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 t="str">
        <x:v>Selected hazards</x:v>
      </x:c>
      <x:c r="E14" s="6" t="n">
        <x:f>Scenario_Builder!B15</x:f>
        <x:v>0</x:v>
      </x:c>
      <x:c r="F14" s="6" t="str">
        <x:v>Number of selected hazards</x:v>
      </x:c>
      <x:c r="G14" s="6"/>
      <x:c r="H14" s="6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 t="str">
        <x:v>Distinct domains</x:v>
      </x:c>
      <x:c r="E15" s="6" t="n">
        <x:f>Scenario_Builder!B17</x:f>
        <x:v>0</x:v>
      </x:c>
      <x:c r="F15" s="6" t="str">
        <x:v>Cross-domain breadth</x:v>
      </x:c>
      <x:c r="G15" s="6"/>
      <x:c r="H15" s="6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 t="str">
        <x:v>Compound score</x:v>
      </x:c>
      <x:c r="E16" s="6" t="n">
        <x:f>Scenario_Builder!B19</x:f>
        <x:v>0</x:v>
      </x:c>
      <x:c r="F16" s="6" t="str">
        <x:v>Base + coupling bonus</x:v>
      </x:c>
      <x:c r="G16" s="6"/>
      <x:c r="H16" s="6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 t="str">
        <x:v>Final decision</x:v>
      </x:c>
      <x:c r="E17" s="6" t="str">
        <x:f>Scenario_Builder!G15</x:f>
        <x:v>ALLOW</x:v>
      </x:c>
      <x:c r="F17" s="6" t="str">
        <x:v>ALLOW / HOLD / ESCALATE / PROHIBIT</x:v>
      </x:c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1d41408e91340b7"/>
</x:worksheet>
</file>